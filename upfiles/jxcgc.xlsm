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0730" windowHeight="11760" tabRatio="662" activeTab="1"/>
  </bookViews>
  <sheets>
    <sheet name="期初库存" sheetId="2" r:id="rId1"/>
    <sheet name="库存表" sheetId="1" r:id="rId2"/>
    <sheet name="到货记录" sheetId="3" r:id="rId3"/>
    <sheet name="入库记录" sheetId="4" r:id="rId4"/>
    <sheet name="入库单" sheetId="5" r:id="rId5"/>
    <sheet name="生产领补退料记录" sheetId="6" r:id="rId6"/>
    <sheet name="生产领料单" sheetId="9" r:id="rId7"/>
    <sheet name="其他出库记录" sheetId="10" r:id="rId8"/>
    <sheet name="其他出库单" sheetId="11" r:id="rId9"/>
  </sheets>
  <externalReferences>
    <externalReference r:id="rId10"/>
  </externalReferences>
  <definedNames>
    <definedName name="com">"广州XXX科技有限公司"</definedName>
    <definedName name="_xlnm.Print_Area" localSheetId="8">其他出库单!$A:$E</definedName>
    <definedName name="_xlnm.Print_Area" localSheetId="4">入库单!$A:$G</definedName>
    <definedName name="_xlnm.Print_Area" localSheetId="6">生产领料单!$A:$I</definedName>
    <definedName name="_xlnm.Print_Titles" localSheetId="2">到货记录!$1:$3</definedName>
    <definedName name="_xlnm.Print_Titles" localSheetId="1">库存表!$1:$3</definedName>
    <definedName name="_xlnm.Print_Titles" localSheetId="0">期初库存!$1:$3</definedName>
    <definedName name="_xlnm.Print_Titles" localSheetId="8">其他出库单!$1:$5</definedName>
    <definedName name="_xlnm.Print_Titles" localSheetId="7">其他出库记录!$1:$3</definedName>
    <definedName name="_xlnm.Print_Titles" localSheetId="4">入库单!$1:$5</definedName>
    <definedName name="_xlnm.Print_Titles" localSheetId="3">入库记录!$1:$3</definedName>
    <definedName name="_xlnm.Print_Titles" localSheetId="5">生产领补退料记录!$1:$3</definedName>
    <definedName name="_xlnm.Print_Titles" localSheetId="6">生产领料单!$1:$5</definedName>
    <definedName name="仓库">[1]配置说明!$C$6:$C$9</definedName>
    <definedName name="进出库类型">[1]配置说明!$C$10:$C$21</definedName>
  </definedNames>
  <calcPr calcId="145621"/>
</workbook>
</file>

<file path=xl/calcChain.xml><?xml version="1.0" encoding="utf-8"?>
<calcChain xmlns="http://schemas.openxmlformats.org/spreadsheetml/2006/main">
  <c r="B5" i="2" l="1"/>
  <c r="H4" i="1"/>
  <c r="H5" i="1"/>
  <c r="E4" i="1"/>
  <c r="E5" i="1"/>
  <c r="B7" i="11"/>
  <c r="C7" i="11"/>
  <c r="D7" i="11"/>
  <c r="E7" i="11"/>
  <c r="B8" i="11"/>
  <c r="C8" i="11"/>
  <c r="D8" i="11"/>
  <c r="E8" i="11"/>
  <c r="B9" i="11"/>
  <c r="C9" i="11"/>
  <c r="D9" i="11"/>
  <c r="E9" i="11"/>
  <c r="B10" i="11"/>
  <c r="C10" i="11"/>
  <c r="D10" i="11"/>
  <c r="E10" i="11"/>
  <c r="B11" i="11"/>
  <c r="C11" i="11"/>
  <c r="D11" i="11"/>
  <c r="E11" i="11"/>
  <c r="B12" i="11"/>
  <c r="C12" i="11"/>
  <c r="D12" i="11"/>
  <c r="E12" i="11"/>
  <c r="B13" i="11"/>
  <c r="C13" i="11"/>
  <c r="D13" i="11"/>
  <c r="E13" i="11"/>
  <c r="B14" i="11"/>
  <c r="C14" i="11"/>
  <c r="D14" i="11"/>
  <c r="E14" i="11"/>
  <c r="B15" i="11"/>
  <c r="C15" i="11"/>
  <c r="D15" i="11"/>
  <c r="E15" i="11"/>
  <c r="E6" i="11"/>
  <c r="D6" i="11"/>
  <c r="B6" i="11"/>
  <c r="A4" i="11"/>
  <c r="A3" i="11"/>
  <c r="A15" i="11"/>
  <c r="A14" i="11"/>
  <c r="A13" i="11"/>
  <c r="A12" i="11"/>
  <c r="A11" i="11"/>
  <c r="A10" i="11"/>
  <c r="A9" i="11"/>
  <c r="A8" i="11"/>
  <c r="A7" i="11"/>
  <c r="A6" i="11"/>
  <c r="E3" i="11"/>
  <c r="A1" i="11"/>
  <c r="D5" i="10"/>
  <c r="D4" i="10"/>
  <c r="C6" i="11" s="1"/>
  <c r="A1" i="10"/>
  <c r="C7" i="9"/>
  <c r="C8" i="9"/>
  <c r="C9" i="9"/>
  <c r="C10" i="9"/>
  <c r="C11" i="9"/>
  <c r="C12" i="9"/>
  <c r="C13" i="9"/>
  <c r="C14" i="9"/>
  <c r="C15" i="9"/>
  <c r="C6" i="9"/>
  <c r="A8" i="9"/>
  <c r="A9" i="9"/>
  <c r="A10" i="9"/>
  <c r="A11" i="9"/>
  <c r="A12" i="9"/>
  <c r="A13" i="9"/>
  <c r="A14" i="9"/>
  <c r="A15" i="9"/>
  <c r="B8" i="9"/>
  <c r="B9" i="9"/>
  <c r="B10" i="9"/>
  <c r="B11" i="9"/>
  <c r="B12" i="9"/>
  <c r="B13" i="9"/>
  <c r="B14" i="9"/>
  <c r="B15" i="9"/>
  <c r="A4" i="9"/>
  <c r="A3" i="9"/>
  <c r="I3" i="9"/>
  <c r="A1" i="9"/>
  <c r="F5" i="6"/>
  <c r="B7" i="9" s="1"/>
  <c r="F4" i="6"/>
  <c r="B6" i="9" s="1"/>
  <c r="B7" i="5"/>
  <c r="C7" i="5"/>
  <c r="D7" i="5"/>
  <c r="E7" i="5"/>
  <c r="F7" i="5"/>
  <c r="G7" i="5"/>
  <c r="B8" i="5"/>
  <c r="C8" i="5"/>
  <c r="D8" i="5"/>
  <c r="E8" i="5"/>
  <c r="F8" i="5"/>
  <c r="G8" i="5"/>
  <c r="B9" i="5"/>
  <c r="C9" i="5"/>
  <c r="D9" i="5"/>
  <c r="E9" i="5"/>
  <c r="F9" i="5"/>
  <c r="G9" i="5"/>
  <c r="B10" i="5"/>
  <c r="C10" i="5"/>
  <c r="D10" i="5"/>
  <c r="E10" i="5"/>
  <c r="F10" i="5"/>
  <c r="G10" i="5"/>
  <c r="B11" i="5"/>
  <c r="C11" i="5"/>
  <c r="D11" i="5"/>
  <c r="E11" i="5"/>
  <c r="F11" i="5"/>
  <c r="G11" i="5"/>
  <c r="B12" i="5"/>
  <c r="C12" i="5"/>
  <c r="D12" i="5"/>
  <c r="E12" i="5"/>
  <c r="F12" i="5"/>
  <c r="G12" i="5"/>
  <c r="B13" i="5"/>
  <c r="C13" i="5"/>
  <c r="D13" i="5"/>
  <c r="E13" i="5"/>
  <c r="F13" i="5"/>
  <c r="G13" i="5"/>
  <c r="B14" i="5"/>
  <c r="C14" i="5"/>
  <c r="D14" i="5"/>
  <c r="E14" i="5"/>
  <c r="F14" i="5"/>
  <c r="G14" i="5"/>
  <c r="B15" i="5"/>
  <c r="C15" i="5"/>
  <c r="D15" i="5"/>
  <c r="E15" i="5"/>
  <c r="F15" i="5"/>
  <c r="G15" i="5"/>
  <c r="F6" i="5"/>
  <c r="A7" i="5"/>
  <c r="A8" i="5"/>
  <c r="A9" i="5"/>
  <c r="A10" i="5"/>
  <c r="A11" i="5"/>
  <c r="A12" i="5"/>
  <c r="A13" i="5"/>
  <c r="A14" i="5"/>
  <c r="A15" i="5"/>
  <c r="A6" i="5"/>
  <c r="A3" i="5"/>
  <c r="A6" i="9" l="1"/>
  <c r="A7" i="9"/>
  <c r="A1" i="6"/>
  <c r="C5" i="1"/>
  <c r="C5" i="4"/>
  <c r="D5" i="4"/>
  <c r="E5" i="4"/>
  <c r="F5" i="4"/>
  <c r="G5" i="4"/>
  <c r="I5" i="4"/>
  <c r="A1" i="4"/>
  <c r="A1" i="5"/>
  <c r="G3" i="5"/>
  <c r="J5" i="3"/>
  <c r="K5" i="3" s="1"/>
  <c r="I4" i="4"/>
  <c r="C4" i="4"/>
  <c r="G4" i="4"/>
  <c r="E4" i="4"/>
  <c r="D4" i="1" l="1"/>
  <c r="D5" i="1"/>
  <c r="F5" i="1" s="1"/>
  <c r="D6" i="5"/>
  <c r="G6" i="5"/>
  <c r="A4" i="5"/>
  <c r="B6" i="5"/>
  <c r="J4" i="3"/>
  <c r="K4" i="3" s="1"/>
  <c r="C5" i="3"/>
  <c r="C4" i="3"/>
  <c r="D4" i="4" s="1"/>
  <c r="A1" i="3"/>
  <c r="A1" i="1"/>
  <c r="A1" i="2"/>
  <c r="E4" i="3"/>
  <c r="E5" i="3"/>
  <c r="G4" i="1" l="1"/>
  <c r="G5" i="1"/>
  <c r="C6" i="5"/>
  <c r="F4" i="4"/>
  <c r="C4" i="1"/>
  <c r="F4" i="1" s="1"/>
  <c r="B4" i="2"/>
  <c r="E6" i="5" l="1"/>
</calcChain>
</file>

<file path=xl/comments1.xml><?xml version="1.0" encoding="utf-8"?>
<comments xmlns="http://schemas.openxmlformats.org/spreadsheetml/2006/main">
  <authors>
    <author>Any</author>
  </authors>
  <commentList>
    <comment ref="J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负数表示为退还给供应商（采购退货）</t>
        </r>
      </text>
    </comment>
  </commentList>
</comments>
</file>

<file path=xl/comments2.xml><?xml version="1.0" encoding="utf-8"?>
<comments xmlns="http://schemas.openxmlformats.org/spreadsheetml/2006/main">
  <authors>
    <author>Hu</author>
  </authors>
  <commentList>
    <comment ref="H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负数表示为其他入库</t>
        </r>
      </text>
    </comment>
  </commentList>
</comments>
</file>

<file path=xl/sharedStrings.xml><?xml version="1.0" encoding="utf-8"?>
<sst xmlns="http://schemas.openxmlformats.org/spreadsheetml/2006/main" count="127" uniqueCount="82">
  <si>
    <t>期初数量</t>
    <phoneticPr fontId="1" type="noConversion"/>
  </si>
  <si>
    <t>结余库存</t>
    <phoneticPr fontId="1" type="noConversion"/>
  </si>
  <si>
    <t>本期入库</t>
    <phoneticPr fontId="1" type="noConversion"/>
  </si>
  <si>
    <t>本期出库</t>
    <phoneticPr fontId="1" type="noConversion"/>
  </si>
  <si>
    <t>说明</t>
    <phoneticPr fontId="1" type="noConversion"/>
  </si>
  <si>
    <t>到货批号</t>
    <phoneticPr fontId="1" type="noConversion"/>
  </si>
  <si>
    <t>到货日期</t>
    <phoneticPr fontId="1" type="noConversion"/>
  </si>
  <si>
    <t>开单数量</t>
    <phoneticPr fontId="1" type="noConversion"/>
  </si>
  <si>
    <t>装箱明细</t>
    <phoneticPr fontId="1" type="noConversion"/>
  </si>
  <si>
    <t>供应商</t>
    <phoneticPr fontId="1" type="noConversion"/>
  </si>
  <si>
    <t>备注</t>
    <phoneticPr fontId="1" type="noConversion"/>
  </si>
  <si>
    <t>入库数量</t>
    <phoneticPr fontId="1" type="noConversion"/>
  </si>
  <si>
    <t>IQC结果</t>
    <phoneticPr fontId="1" type="noConversion"/>
  </si>
  <si>
    <t>入库日期</t>
    <phoneticPr fontId="1" type="noConversion"/>
  </si>
  <si>
    <t>入库单号</t>
    <phoneticPr fontId="1" type="noConversion"/>
  </si>
  <si>
    <t>左边的内容不要动</t>
    <phoneticPr fontId="1" type="noConversion"/>
  </si>
  <si>
    <t>在下面录入单号：</t>
    <phoneticPr fontId="1" type="noConversion"/>
  </si>
  <si>
    <t>序号</t>
    <phoneticPr fontId="1" type="noConversion"/>
  </si>
  <si>
    <t>数量</t>
    <phoneticPr fontId="1" type="noConversion"/>
  </si>
  <si>
    <t>到货批号</t>
    <phoneticPr fontId="1" type="noConversion"/>
  </si>
  <si>
    <t>领料单号</t>
    <phoneticPr fontId="1" type="noConversion"/>
  </si>
  <si>
    <t>领料日期</t>
    <phoneticPr fontId="1" type="noConversion"/>
  </si>
  <si>
    <t>生产领补退料记录</t>
    <phoneticPr fontId="1" type="noConversion"/>
  </si>
  <si>
    <t>目标数量</t>
    <phoneticPr fontId="1" type="noConversion"/>
  </si>
  <si>
    <t>领料数量</t>
    <phoneticPr fontId="1" type="noConversion"/>
  </si>
  <si>
    <t>补料数量</t>
    <phoneticPr fontId="1" type="noConversion"/>
  </si>
  <si>
    <t>不良原因</t>
    <phoneticPr fontId="1" type="noConversion"/>
  </si>
  <si>
    <t>合格退料</t>
  </si>
  <si>
    <t>不良退料</t>
  </si>
  <si>
    <t>入 库 单</t>
    <phoneticPr fontId="1" type="noConversion"/>
  </si>
  <si>
    <t>处理状态</t>
    <phoneticPr fontId="1" type="noConversion"/>
  </si>
  <si>
    <t>物料 期初数量</t>
    <phoneticPr fontId="1" type="noConversion"/>
  </si>
  <si>
    <t>物料编号</t>
    <phoneticPr fontId="1" type="noConversion"/>
  </si>
  <si>
    <t>物料名称规格</t>
    <phoneticPr fontId="1" type="noConversion"/>
  </si>
  <si>
    <t>物料进销存 库存表</t>
    <phoneticPr fontId="1" type="noConversion"/>
  </si>
  <si>
    <t>入库记录</t>
    <phoneticPr fontId="1" type="noConversion"/>
  </si>
  <si>
    <t>fd555</t>
  </si>
  <si>
    <t>fd555</t>
    <phoneticPr fontId="1" type="noConversion"/>
  </si>
  <si>
    <t>d001</t>
    <phoneticPr fontId="1" type="noConversion"/>
  </si>
  <si>
    <t>数量*箱数+数量</t>
    <phoneticPr fontId="1" type="noConversion"/>
  </si>
  <si>
    <t>待检</t>
  </si>
  <si>
    <t>供应商</t>
    <phoneticPr fontId="1" type="noConversion"/>
  </si>
  <si>
    <t>i001</t>
    <phoneticPr fontId="1" type="noConversion"/>
  </si>
  <si>
    <t>i001</t>
    <phoneticPr fontId="1" type="noConversion"/>
  </si>
  <si>
    <t>到货记录</t>
    <phoneticPr fontId="1" type="noConversion"/>
  </si>
  <si>
    <t>张三公司</t>
    <phoneticPr fontId="1" type="noConversion"/>
  </si>
  <si>
    <t>合格放行</t>
  </si>
  <si>
    <t>d001</t>
    <phoneticPr fontId="1" type="noConversion"/>
  </si>
  <si>
    <t>fd666</t>
    <phoneticPr fontId="1" type="noConversion"/>
  </si>
  <si>
    <t>stk 35g 美颜BB霜 软管</t>
    <phoneticPr fontId="1" type="noConversion"/>
  </si>
  <si>
    <t>stk 35g 美颜BB霜 彩盒</t>
    <phoneticPr fontId="1" type="noConversion"/>
  </si>
  <si>
    <t>物料编号</t>
    <phoneticPr fontId="1" type="noConversion"/>
  </si>
  <si>
    <t>物料批号</t>
    <phoneticPr fontId="1" type="noConversion"/>
  </si>
  <si>
    <t>物料编码</t>
    <phoneticPr fontId="1" type="noConversion"/>
  </si>
  <si>
    <t>仓位：包材仓</t>
    <phoneticPr fontId="1" type="noConversion"/>
  </si>
  <si>
    <t>p001</t>
  </si>
  <si>
    <t>p001</t>
    <phoneticPr fontId="1" type="noConversion"/>
  </si>
  <si>
    <t>stk 35g 美颜BB霜</t>
    <phoneticPr fontId="1" type="noConversion"/>
  </si>
  <si>
    <t>生产领料单</t>
    <phoneticPr fontId="1" type="noConversion"/>
  </si>
  <si>
    <t>其他出库记录</t>
    <phoneticPr fontId="1" type="noConversion"/>
  </si>
  <si>
    <t>出库单号</t>
    <phoneticPr fontId="1" type="noConversion"/>
  </si>
  <si>
    <t>出库日期</t>
    <phoneticPr fontId="1" type="noConversion"/>
  </si>
  <si>
    <t>出库数量</t>
    <phoneticPr fontId="1" type="noConversion"/>
  </si>
  <si>
    <t>部门或单位</t>
    <phoneticPr fontId="1" type="noConversion"/>
  </si>
  <si>
    <t>项目说明</t>
    <phoneticPr fontId="1" type="noConversion"/>
  </si>
  <si>
    <t>其他出库单</t>
    <phoneticPr fontId="1" type="noConversion"/>
  </si>
  <si>
    <t>s001</t>
    <phoneticPr fontId="1" type="noConversion"/>
  </si>
  <si>
    <t>s001</t>
    <phoneticPr fontId="1" type="noConversion"/>
  </si>
  <si>
    <t>生产说明</t>
    <phoneticPr fontId="1" type="noConversion"/>
  </si>
  <si>
    <t>业务部</t>
    <phoneticPr fontId="1" type="noConversion"/>
  </si>
  <si>
    <t>产品备案</t>
    <phoneticPr fontId="1" type="noConversion"/>
  </si>
  <si>
    <t>质管部</t>
    <phoneticPr fontId="1" type="noConversion"/>
  </si>
  <si>
    <t>IQC留样</t>
    <phoneticPr fontId="1" type="noConversion"/>
  </si>
  <si>
    <t>s002</t>
    <phoneticPr fontId="1" type="noConversion"/>
  </si>
  <si>
    <t>到货未入库</t>
    <phoneticPr fontId="1" type="noConversion"/>
  </si>
  <si>
    <t>退仓不良品</t>
    <phoneticPr fontId="1" type="noConversion"/>
  </si>
  <si>
    <t>fd666</t>
    <phoneticPr fontId="1" type="noConversion"/>
  </si>
  <si>
    <t>fd666</t>
    <phoneticPr fontId="1" type="noConversion"/>
  </si>
  <si>
    <t>生产不良，脏污</t>
    <phoneticPr fontId="1" type="noConversion"/>
  </si>
  <si>
    <t>物料分类</t>
    <phoneticPr fontId="1" type="noConversion"/>
  </si>
  <si>
    <t>包材</t>
    <phoneticPr fontId="1" type="noConversion"/>
  </si>
  <si>
    <t>半成品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</si>
</sst>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b/>
      <sz val="2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sz val="14"/>
      <color rgb="FF9C65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u/>
      <sz val="16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1"/>
      <name val="等线 Light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13" fillId="3" borderId="1" xfId="2" applyFont="1" applyBorder="1">
      <alignment vertical="center"/>
    </xf>
    <xf numFmtId="0" fontId="8" fillId="4" borderId="1" xfId="3" applyBorder="1">
      <alignment vertical="center"/>
    </xf>
    <xf numFmtId="0" fontId="15" fillId="0" borderId="1" xfId="3" applyFont="1" applyFill="1" applyBorder="1" applyAlignment="1">
      <alignment horizontal="center" vertical="center"/>
    </xf>
    <xf numFmtId="0" fontId="16" fillId="2" borderId="1" xfId="1" applyFont="1" applyBorder="1" applyAlignment="1">
      <alignment horizontal="center" vertical="center"/>
    </xf>
    <xf numFmtId="0" fontId="16" fillId="2" borderId="0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right" vertical="center" inden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 indent="1"/>
    </xf>
    <xf numFmtId="0" fontId="20" fillId="0" borderId="0" xfId="0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0" fillId="0" borderId="0" xfId="0" applyFont="1">
      <alignment vertical="center"/>
    </xf>
    <xf numFmtId="0" fontId="9" fillId="0" borderId="0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0" fillId="0" borderId="0" xfId="0" applyFont="1" applyBorder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>
      <alignment vertical="center"/>
    </xf>
    <xf numFmtId="0" fontId="14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</cellXfs>
  <cellStyles count="8">
    <cellStyle name="差" xfId="2" builtinId="27"/>
    <cellStyle name="常规" xfId="0" builtinId="0"/>
    <cellStyle name="常规 2" xfId="4"/>
    <cellStyle name="常规 2 2" xfId="5"/>
    <cellStyle name="常规 4" xfId="6"/>
    <cellStyle name="常规 4 2" xfId="7"/>
    <cellStyle name="好" xfId="1" builtinId="26"/>
    <cellStyle name="适中" xfId="3" builtinId="28"/>
  </cellStyles>
  <dxfs count="87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等线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176" formatCode="yyyy/m/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  <border>
        <top style="medium">
          <color theme="6" tint="0.39994506668294322"/>
        </top>
        <bottom style="medium">
          <color theme="6" tint="0.39994506668294322"/>
        </bottom>
      </border>
    </dxf>
    <dxf>
      <font>
        <b/>
        <i val="0"/>
        <color rgb="FF006100"/>
      </font>
      <fill>
        <patternFill>
          <bgColor rgb="FFC6EFCE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表样式 1" defaultPivotStyle="PivotStyleLight16">
    <tableStyle name="表样式 1" pivot="0" count="3">
      <tableStyleElement type="wholeTable" dxfId="86"/>
      <tableStyleElement type="headerRow" dxfId="85"/>
      <tableStyleElement type="totalRow" dxfId="84"/>
    </tableStyle>
  </tableStyles>
  <colors>
    <mruColors>
      <color rgb="FFFFFF99"/>
      <color rgb="FFFFFFCC"/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xc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库存透视"/>
      <sheetName val="库存报表"/>
      <sheetName val="进出库明细"/>
      <sheetName val="单据打印模板"/>
      <sheetName val="配置说明"/>
    </sheetNames>
    <sheetDataSet>
      <sheetData sheetId="0"/>
      <sheetData sheetId="1"/>
      <sheetData sheetId="2"/>
      <sheetData sheetId="3"/>
      <sheetData sheetId="4">
        <row r="6">
          <cell r="C6" t="str">
            <v>成品仓</v>
          </cell>
        </row>
        <row r="7">
          <cell r="C7" t="str">
            <v>半成品仓</v>
          </cell>
        </row>
        <row r="8">
          <cell r="C8" t="str">
            <v>包材仓</v>
          </cell>
        </row>
        <row r="9">
          <cell r="C9" t="str">
            <v>待处理仓</v>
          </cell>
        </row>
        <row r="10">
          <cell r="C10" t="str">
            <v>采购入库</v>
          </cell>
        </row>
        <row r="11">
          <cell r="C11" t="str">
            <v>采购退货</v>
          </cell>
        </row>
        <row r="12">
          <cell r="C12" t="str">
            <v>销售出库</v>
          </cell>
        </row>
        <row r="13">
          <cell r="C13" t="str">
            <v>销售退货</v>
          </cell>
        </row>
        <row r="14">
          <cell r="C14" t="str">
            <v>生产领料</v>
          </cell>
        </row>
        <row r="15">
          <cell r="C15" t="str">
            <v>生产退料</v>
          </cell>
        </row>
        <row r="16">
          <cell r="C16" t="str">
            <v>委外加工发料</v>
          </cell>
        </row>
        <row r="17">
          <cell r="C17" t="str">
            <v>委外加工退料</v>
          </cell>
        </row>
        <row r="18">
          <cell r="C18" t="str">
            <v>受托加工领料</v>
          </cell>
        </row>
        <row r="19">
          <cell r="C19" t="str">
            <v>受托加工退料</v>
          </cell>
        </row>
        <row r="20">
          <cell r="C20" t="str">
            <v>其他入库</v>
          </cell>
        </row>
        <row r="21">
          <cell r="C21" t="str">
            <v>其他出库</v>
          </cell>
        </row>
      </sheetData>
    </sheetDataSet>
  </externalBook>
</externalLink>
</file>

<file path=xl/tables/table1.xml><?xml version="1.0" encoding="utf-8"?>
<table xmlns="http://schemas.openxmlformats.org/spreadsheetml/2006/main" id="1" name="期初" displayName="期初" ref="A3:D5" totalsRowShown="0" headerRowDxfId="16" dataDxfId="17">
  <autoFilter ref="A3:D5"/>
  <tableColumns count="4">
    <tableColumn id="1" name="物料编号" dataDxfId="83"/>
    <tableColumn id="3" name="物料名称规格" dataDxfId="82">
      <calculatedColumnFormula>VLOOKUP(期初[物料编号],库存[#All],2,0)</calculatedColumnFormula>
    </tableColumn>
    <tableColumn id="4" name="期初数量" dataDxfId="81"/>
    <tableColumn id="8" name="备注" dataDxfId="80"/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2" name="库存" displayName="库存" ref="A3:J5" headerRowDxfId="14" dataDxfId="15">
  <autoFilter ref="A3:J5"/>
  <tableColumns count="10">
    <tableColumn id="1" name="物料编号" totalsRowLabel="汇总" dataDxfId="79" totalsRowDxfId="78"/>
    <tableColumn id="3" name="物料名称规格" dataDxfId="77" totalsRowDxfId="76"/>
    <tableColumn id="4" name="期初数量" dataDxfId="75" totalsRowDxfId="74">
      <calculatedColumnFormula>SUMIF(期初[物料编号],库存[物料编号],期初[期初数量])</calculatedColumnFormula>
    </tableColumn>
    <tableColumn id="5" name="本期入库" dataDxfId="73" totalsRowDxfId="72">
      <calculatedColumnFormula>SUMIF(入库[物料编号],库存[[#This Row],[物料编号]],入库[入库数量])</calculatedColumnFormula>
    </tableColumn>
    <tableColumn id="6" name="本期出库" dataDxfId="71" totalsRowDxfId="70">
      <calculatedColumnFormula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calculatedColumnFormula>
    </tableColumn>
    <tableColumn id="7" name="结余库存" dataDxfId="69" totalsRowDxfId="68">
      <calculatedColumnFormula>库存[[#This Row],[期初数量]]+库存[[#This Row],[本期入库]]-库存[[#This Row],[本期出库]]</calculatedColumnFormula>
    </tableColumn>
    <tableColumn id="2" name="到货未入库" dataDxfId="67" totalsRowDxfId="66">
      <calculatedColumnFormula>SUMIFS(到货[开单数量],到货[处理状态],"跟进中",到货[物料编号],库存[[#This Row],[物料编号]])-SUMIFS(到货[入库数量],到货[处理状态],"跟进中",到货[物料编号],库存[[#This Row],[物料编号]])</calculatedColumnFormula>
    </tableColumn>
    <tableColumn id="9" name="退仓不良品" dataDxfId="65" totalsRowDxfId="64">
      <calculatedColumnFormula>SUMIF(生产[物料编号],库存[[#This Row],[物料编号]],生产[不良退料])</calculatedColumnFormula>
    </tableColumn>
    <tableColumn id="10" name="物料分类" dataDxfId="63" totalsRowDxfId="62"/>
    <tableColumn id="8" name="备注" totalsRowFunction="count" dataDxfId="61" totalsRowDxfId="60"/>
  </tableColumns>
  <tableStyleInfo name="表样式 1" showFirstColumn="0" showLastColumn="0" showRowStripes="1" showColumnStripes="0"/>
</table>
</file>

<file path=xl/tables/table3.xml><?xml version="1.0" encoding="utf-8"?>
<table xmlns="http://schemas.openxmlformats.org/spreadsheetml/2006/main" id="3" name="到货" displayName="到货" ref="A3:L5" totalsRowShown="0" headerRowDxfId="12" dataDxfId="13">
  <autoFilter ref="A3:L5"/>
  <tableColumns count="12">
    <tableColumn id="9" name="到货批号" dataDxfId="59"/>
    <tableColumn id="10" name="到货日期" dataDxfId="58"/>
    <tableColumn id="3" name="物料名称规格" dataDxfId="57">
      <calculatedColumnFormula>VLOOKUP(到货[物料编号],库存[#All],2,0)</calculatedColumnFormula>
    </tableColumn>
    <tableColumn id="4" name="开单数量" dataDxfId="56"/>
    <tableColumn id="5" name="数量*箱数+数量" dataDxfId="55">
      <calculatedColumnFormula>细数(到货[[#This Row],[开单数量]])</calculatedColumnFormula>
    </tableColumn>
    <tableColumn id="6" name="供应商" dataDxfId="54"/>
    <tableColumn id="11" name="说明" dataDxfId="53"/>
    <tableColumn id="13" name="物料编号" dataDxfId="52"/>
    <tableColumn id="12" name="IQC结果" dataDxfId="51"/>
    <tableColumn id="7" name="入库数量" dataDxfId="50">
      <calculatedColumnFormula>SUMIF(入库[到货批号],到货[[#This Row],[到货批号]],入库[入库数量])</calculatedColumnFormula>
    </tableColumn>
    <tableColumn id="1" name="处理状态" dataDxfId="49">
      <calculatedColumnFormula>IF(AND(到货[[#This Row],[开单数量]]&gt;0,到货[[#This Row],[入库数量]]&gt;到货[[#This Row],[开单数量]]*0.98),"已完结","跟进中")</calculatedColumnFormula>
    </tableColumn>
    <tableColumn id="8" name="备注" dataDxfId="48"/>
  </tableColumns>
  <tableStyleInfo name="表样式 1" showFirstColumn="0" showLastColumn="0" showRowStripes="1" showColumnStripes="0"/>
</table>
</file>

<file path=xl/tables/table4.xml><?xml version="1.0" encoding="utf-8"?>
<table xmlns="http://schemas.openxmlformats.org/spreadsheetml/2006/main" id="4" name="入库" displayName="入库" ref="A3:J5" totalsRowShown="0" headerRowDxfId="10" dataDxfId="11">
  <autoFilter ref="A3:J5"/>
  <tableColumns count="10">
    <tableColumn id="1" name="入库单号" dataDxfId="47"/>
    <tableColumn id="9" name="入库日期" dataDxfId="46"/>
    <tableColumn id="2" name="供应商" dataDxfId="45">
      <calculatedColumnFormula>VLOOKUP(入库[到货批号],到货[#All],6,0)&amp;""</calculatedColumnFormula>
    </tableColumn>
    <tableColumn id="3" name="物料名称规格" dataDxfId="44">
      <calculatedColumnFormula>VLOOKUP(入库[到货批号],到货[#All],3,0)</calculatedColumnFormula>
    </tableColumn>
    <tableColumn id="4" name="入库数量" dataDxfId="43">
      <calculatedColumnFormula>VLOOKUP(入库[到货批号],到货[#All],4,0)</calculatedColumnFormula>
    </tableColumn>
    <tableColumn id="5" name="装箱明细" dataDxfId="42">
      <calculatedColumnFormula>VLOOKUP(入库[到货批号],到货[#All],5,0)</calculatedColumnFormula>
    </tableColumn>
    <tableColumn id="6" name="说明" dataDxfId="41">
      <calculatedColumnFormula>VLOOKUP(入库[到货批号],到货[#All],7,0)&amp;""</calculatedColumnFormula>
    </tableColumn>
    <tableColumn id="7" name="到货批号" dataDxfId="40"/>
    <tableColumn id="10" name="物料编号" dataDxfId="39">
      <calculatedColumnFormula>VLOOKUP(入库[到货批号],到货[#All],8,0)</calculatedColumnFormula>
    </tableColumn>
    <tableColumn id="8" name="备注" dataDxfId="38"/>
  </tableColumns>
  <tableStyleInfo name="表样式 1" showFirstColumn="0" showLastColumn="0" showRowStripes="1" showColumnStripes="0"/>
</table>
</file>

<file path=xl/tables/table5.xml><?xml version="1.0" encoding="utf-8"?>
<table xmlns="http://schemas.openxmlformats.org/spreadsheetml/2006/main" id="5" name="生产" displayName="生产" ref="A3:L5" totalsRowShown="0" headerRowDxfId="8" dataDxfId="9">
  <autoFilter ref="A3:L5"/>
  <tableColumns count="12">
    <tableColumn id="1" name="领料单号" dataDxfId="37"/>
    <tableColumn id="9" name="领料日期" dataDxfId="36"/>
    <tableColumn id="11" name="生产说明" dataDxfId="35"/>
    <tableColumn id="2" name="目标数量" dataDxfId="34"/>
    <tableColumn id="12" name="物料编号" dataDxfId="33"/>
    <tableColumn id="3" name="物料名称规格" dataDxfId="32">
      <calculatedColumnFormula>IFERROR(VLOOKUP(生产[[#This Row],[物料编号]],库存[#All],2,0),"")</calculatedColumnFormula>
    </tableColumn>
    <tableColumn id="4" name="领料数量" dataDxfId="31"/>
    <tableColumn id="5" name="补料数量" dataDxfId="30"/>
    <tableColumn id="6" name="合格退料" dataDxfId="29"/>
    <tableColumn id="7" name="不良退料" dataDxfId="28"/>
    <tableColumn id="14" name="不良原因" dataDxfId="27"/>
    <tableColumn id="8" name="备注" dataDxfId="26"/>
  </tableColumns>
  <tableStyleInfo name="表样式 1" showFirstColumn="0" showLastColumn="0" showRowStripes="1" showColumnStripes="0"/>
</table>
</file>

<file path=xl/tables/table6.xml><?xml version="1.0" encoding="utf-8"?>
<table xmlns="http://schemas.openxmlformats.org/spreadsheetml/2006/main" id="6" name="出库" displayName="出库" ref="A3:H5" totalsRowShown="0" headerRowDxfId="6" dataDxfId="7">
  <autoFilter ref="A3:H5"/>
  <tableColumns count="8">
    <tableColumn id="1" name="出库单号" dataDxfId="25"/>
    <tableColumn id="9" name="出库日期" dataDxfId="24"/>
    <tableColumn id="12" name="物料编号" dataDxfId="23"/>
    <tableColumn id="3" name="物料名称规格" dataDxfId="22">
      <calculatedColumnFormula>IFERROR(VLOOKUP(出库[[#This Row],[物料编号]],库存[#All],2,0),"")</calculatedColumnFormula>
    </tableColumn>
    <tableColumn id="4" name="出库数量" dataDxfId="21"/>
    <tableColumn id="14" name="部门或单位" dataDxfId="20"/>
    <tableColumn id="10" name="项目说明" dataDxfId="19"/>
    <tableColumn id="8" name="备注" dataDxfId="18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pane ySplit="3" topLeftCell="A4" activePane="bottomLeft" state="frozen"/>
      <selection pane="bottomLeft" activeCell="B10" sqref="B10"/>
    </sheetView>
  </sheetViews>
  <sheetFormatPr defaultRowHeight="24.95" customHeight="1" x14ac:dyDescent="0.15"/>
  <cols>
    <col min="1" max="1" width="13.125" style="4" customWidth="1"/>
    <col min="2" max="2" width="54" style="3" customWidth="1"/>
    <col min="3" max="3" width="13.5" style="4" customWidth="1"/>
    <col min="4" max="4" width="15" style="3" customWidth="1"/>
    <col min="5" max="16384" width="9" style="3"/>
  </cols>
  <sheetData>
    <row r="1" spans="1:4" s="1" customFormat="1" ht="24.95" customHeight="1" x14ac:dyDescent="0.15">
      <c r="A1" s="16" t="str">
        <f>com</f>
        <v>广州XXX科技有限公司</v>
      </c>
      <c r="B1" s="16"/>
      <c r="C1" s="16"/>
      <c r="D1" s="16"/>
    </row>
    <row r="2" spans="1:4" s="2" customFormat="1" ht="24.95" customHeight="1" x14ac:dyDescent="0.15">
      <c r="A2" s="17" t="s">
        <v>31</v>
      </c>
      <c r="B2" s="17"/>
      <c r="C2" s="17"/>
      <c r="D2" s="17"/>
    </row>
    <row r="3" spans="1:4" s="38" customFormat="1" ht="24.95" customHeight="1" x14ac:dyDescent="0.15">
      <c r="A3" s="38" t="s">
        <v>32</v>
      </c>
      <c r="B3" s="38" t="s">
        <v>33</v>
      </c>
      <c r="C3" s="38" t="s">
        <v>0</v>
      </c>
      <c r="D3" s="38" t="s">
        <v>10</v>
      </c>
    </row>
    <row r="4" spans="1:4" ht="24.95" customHeight="1" x14ac:dyDescent="0.15">
      <c r="A4" s="4" t="s">
        <v>37</v>
      </c>
      <c r="B4" s="3" t="str">
        <f>VLOOKUP(期初[物料编号],库存[#All],2,0)</f>
        <v>stk 35g 美颜BB霜 彩盒</v>
      </c>
      <c r="C4" s="4">
        <v>200</v>
      </c>
    </row>
    <row r="5" spans="1:4" ht="24.95" customHeight="1" x14ac:dyDescent="0.15">
      <c r="A5" s="22" t="s">
        <v>77</v>
      </c>
      <c r="B5" s="24" t="str">
        <f>VLOOKUP(期初[物料编号],库存[#All],2,0)</f>
        <v>stk 35g 美颜BB霜 软管</v>
      </c>
      <c r="C5" s="22">
        <v>90</v>
      </c>
      <c r="D5" s="24"/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180" verticalDpi="180" r:id="rId1"/>
  <headerFooter>
    <oddFooter>&amp;C第 &amp;P 页，共 &amp;N 页，&amp;D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tabSelected="1" workbookViewId="0">
      <pane ySplit="3" topLeftCell="A4" activePane="bottomLeft" state="frozen"/>
      <selection pane="bottomLeft" activeCell="B8" sqref="B8"/>
    </sheetView>
  </sheetViews>
  <sheetFormatPr defaultRowHeight="24.95" customHeight="1" x14ac:dyDescent="0.15"/>
  <cols>
    <col min="1" max="1" width="14.25" style="4" customWidth="1"/>
    <col min="2" max="2" width="39.375" style="3" customWidth="1"/>
    <col min="3" max="9" width="14" style="3" customWidth="1"/>
    <col min="10" max="10" width="9.875" style="3" customWidth="1"/>
    <col min="11" max="16384" width="9" style="3"/>
  </cols>
  <sheetData>
    <row r="1" spans="1:10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s="2" customFormat="1" ht="24.95" customHeight="1" x14ac:dyDescent="0.15">
      <c r="A2" s="17" t="s">
        <v>34</v>
      </c>
      <c r="B2" s="17"/>
      <c r="C2" s="17"/>
      <c r="D2" s="17"/>
      <c r="E2" s="17"/>
      <c r="F2" s="17"/>
      <c r="G2" s="17"/>
      <c r="H2" s="17"/>
      <c r="I2" s="17"/>
      <c r="J2" s="17"/>
    </row>
    <row r="3" spans="1:10" s="38" customFormat="1" ht="24.95" customHeight="1" x14ac:dyDescent="0.15">
      <c r="A3" s="38" t="s">
        <v>32</v>
      </c>
      <c r="B3" s="38" t="s">
        <v>33</v>
      </c>
      <c r="C3" s="38" t="s">
        <v>0</v>
      </c>
      <c r="D3" s="38" t="s">
        <v>2</v>
      </c>
      <c r="E3" s="38" t="s">
        <v>3</v>
      </c>
      <c r="F3" s="38" t="s">
        <v>1</v>
      </c>
      <c r="G3" s="38" t="s">
        <v>74</v>
      </c>
      <c r="H3" s="38" t="s">
        <v>75</v>
      </c>
      <c r="I3" s="38" t="s">
        <v>79</v>
      </c>
      <c r="J3" s="38" t="s">
        <v>10</v>
      </c>
    </row>
    <row r="4" spans="1:10" ht="24.95" customHeight="1" x14ac:dyDescent="0.15">
      <c r="A4" s="4" t="s">
        <v>36</v>
      </c>
      <c r="B4" s="3" t="s">
        <v>50</v>
      </c>
      <c r="C4" s="4">
        <f>SUMIF(期初[物料编号],库存[物料编号],期初[期初数量])</f>
        <v>200</v>
      </c>
      <c r="D4" s="4">
        <f>SUMIF(入库[物料编号],库存[[#This Row],[物料编号]],入库[入库数量])</f>
        <v>33</v>
      </c>
      <c r="E4" s="4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41</v>
      </c>
      <c r="F4" s="4">
        <f>库存[[#This Row],[期初数量]]+库存[[#This Row],[本期入库]]-库存[[#This Row],[本期出库]]</f>
        <v>192</v>
      </c>
      <c r="G4" s="4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4" s="4">
        <f>SUMIF(生产[物料编号],库存[[#This Row],[物料编号]],生产[不良退料])</f>
        <v>2</v>
      </c>
      <c r="I4" s="4" t="s">
        <v>80</v>
      </c>
    </row>
    <row r="5" spans="1:10" ht="24.95" customHeight="1" x14ac:dyDescent="0.15">
      <c r="A5" s="4" t="s">
        <v>48</v>
      </c>
      <c r="B5" s="3" t="s">
        <v>49</v>
      </c>
      <c r="C5" s="4">
        <f>SUMIF(期初[物料编号],库存[物料编号],期初[期初数量])</f>
        <v>90</v>
      </c>
      <c r="D5" s="4">
        <f>SUMIF(入库[物料编号],库存[[#This Row],[物料编号]],入库[入库数量])</f>
        <v>0</v>
      </c>
      <c r="E5" s="4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30</v>
      </c>
      <c r="F5" s="4">
        <f>库存[[#This Row],[期初数量]]+库存[[#This Row],[本期入库]]-库存[[#This Row],[本期出库]]</f>
        <v>60</v>
      </c>
      <c r="G5" s="4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5" s="4">
        <f>SUMIF(生产[物料编号],库存[[#This Row],[物料编号]],生产[不良退料])</f>
        <v>0</v>
      </c>
      <c r="I5" s="4" t="s">
        <v>81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5"/>
  <sheetViews>
    <sheetView workbookViewId="0">
      <pane ySplit="3" topLeftCell="A4" activePane="bottomLeft" state="frozen"/>
      <selection pane="bottomLeft" activeCell="C9" sqref="C9"/>
    </sheetView>
  </sheetViews>
  <sheetFormatPr defaultRowHeight="24.95" customHeight="1" x14ac:dyDescent="0.15"/>
  <cols>
    <col min="1" max="1" width="14.25" style="4" customWidth="1"/>
    <col min="2" max="2" width="15" style="5" customWidth="1"/>
    <col min="3" max="3" width="46" style="3" customWidth="1"/>
    <col min="4" max="4" width="14" style="3" customWidth="1"/>
    <col min="5" max="5" width="19.75" style="3" customWidth="1"/>
    <col min="6" max="8" width="14" style="3" customWidth="1"/>
    <col min="9" max="9" width="12.5" style="3" customWidth="1"/>
    <col min="10" max="11" width="12.875" style="3" customWidth="1"/>
    <col min="12" max="12" width="16.875" style="3" customWidth="1"/>
    <col min="13" max="16384" width="9" style="3"/>
  </cols>
  <sheetData>
    <row r="1" spans="1:12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s="2" customFormat="1" ht="24.95" customHeight="1" x14ac:dyDescent="0.15">
      <c r="A2" s="17" t="s">
        <v>44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s="38" customFormat="1" ht="24.95" customHeight="1" x14ac:dyDescent="0.15">
      <c r="A3" s="38" t="s">
        <v>5</v>
      </c>
      <c r="B3" s="39" t="s">
        <v>6</v>
      </c>
      <c r="C3" s="38" t="s">
        <v>33</v>
      </c>
      <c r="D3" s="38" t="s">
        <v>7</v>
      </c>
      <c r="E3" s="38" t="s">
        <v>39</v>
      </c>
      <c r="F3" s="38" t="s">
        <v>9</v>
      </c>
      <c r="G3" s="38" t="s">
        <v>4</v>
      </c>
      <c r="H3" s="38" t="s">
        <v>32</v>
      </c>
      <c r="I3" s="38" t="s">
        <v>12</v>
      </c>
      <c r="J3" s="38" t="s">
        <v>11</v>
      </c>
      <c r="K3" s="38" t="s">
        <v>30</v>
      </c>
      <c r="L3" s="38" t="s">
        <v>10</v>
      </c>
    </row>
    <row r="4" spans="1:12" ht="24.95" customHeight="1" x14ac:dyDescent="0.15">
      <c r="A4" s="4" t="s">
        <v>38</v>
      </c>
      <c r="B4" s="5">
        <v>44545</v>
      </c>
      <c r="C4" s="3" t="str">
        <f>VLOOKUP(到货[物料编号],库存[#All],2,0)</f>
        <v>stk 35g 美颜BB霜 彩盒</v>
      </c>
      <c r="D4" s="4">
        <v>33</v>
      </c>
      <c r="E4" s="3" t="e">
        <f ca="1">细数(到货[[#This Row],[开单数量]])</f>
        <v>#NAME?</v>
      </c>
      <c r="F4" s="4" t="s">
        <v>45</v>
      </c>
      <c r="H4" s="4" t="s">
        <v>36</v>
      </c>
      <c r="I4" s="4" t="s">
        <v>46</v>
      </c>
      <c r="J4" s="4">
        <f>SUMIF(入库[到货批号],到货[[#This Row],[到货批号]],入库[入库数量])</f>
        <v>33</v>
      </c>
      <c r="K4" s="4" t="str">
        <f>IF(AND(到货[[#This Row],[开单数量]]&gt;0,到货[[#This Row],[入库数量]]&gt;到货[[#This Row],[开单数量]]*0.98),"已完结","跟进中")</f>
        <v>已完结</v>
      </c>
    </row>
    <row r="5" spans="1:12" ht="24.95" customHeight="1" x14ac:dyDescent="0.15">
      <c r="A5" s="22"/>
      <c r="B5" s="23"/>
      <c r="C5" s="24" t="e">
        <f>VLOOKUP(到货[物料编号],库存[#All],2,0)</f>
        <v>#N/A</v>
      </c>
      <c r="D5" s="22"/>
      <c r="E5" s="24" t="e">
        <f ca="1">细数(到货[[#This Row],[开单数量]])</f>
        <v>#NAME?</v>
      </c>
      <c r="F5" s="22"/>
      <c r="G5" s="24"/>
      <c r="H5" s="4"/>
      <c r="I5" s="22" t="s">
        <v>40</v>
      </c>
      <c r="J5" s="22">
        <f>SUMIF(入库[到货批号],到货[[#This Row],[到货批号]],入库[入库数量])</f>
        <v>0</v>
      </c>
      <c r="K5" s="4" t="str">
        <f>IF(AND(到货[[#This Row],[开单数量]]&gt;0,到货[[#This Row],[入库数量]]&gt;到货[[#This Row],[开单数量]]*0.98),"已完结","跟进中")</f>
        <v>跟进中</v>
      </c>
      <c r="L5" s="24"/>
    </row>
  </sheetData>
  <phoneticPr fontId="1" type="noConversion"/>
  <conditionalFormatting sqref="A4:L5">
    <cfRule type="expression" dxfId="4" priority="1">
      <formula>AND($K4="跟进中",OR($I4="不合格",$I4="退货"))</formula>
    </cfRule>
    <cfRule type="expression" dxfId="5" priority="2">
      <formula>AND($K4="跟进中",OR($I4="合格放行",$I4="让步接收"))</formula>
    </cfRule>
    <cfRule type="expression" dxfId="3" priority="3">
      <formula>$K4="跟进中"</formula>
    </cfRule>
  </conditionalFormatting>
  <dataValidations count="2">
    <dataValidation type="list" allowBlank="1" showInputMessage="1" showErrorMessage="1" errorTitle="出错啦" error="仅适用于以下值：_x000a_待检,合格放行,不合格,_x000a_让步接收,退货" sqref="I4:I5">
      <formula1>"待检,合格放行,不合格,让步接收,退货"</formula1>
    </dataValidation>
    <dataValidation type="list" allowBlank="1" showInputMessage="1" showErrorMessage="1" errorTitle="出错啦" error="请选择以下值：_x000a_跟进中,已完结" sqref="K4:K5">
      <formula1>"跟进中,已完结"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J5"/>
  <sheetViews>
    <sheetView workbookViewId="0">
      <pane ySplit="3" topLeftCell="A4" activePane="bottomLeft" state="frozen"/>
      <selection pane="bottomLeft" activeCell="D14" sqref="D14"/>
    </sheetView>
  </sheetViews>
  <sheetFormatPr defaultRowHeight="24.95" customHeight="1" x14ac:dyDescent="0.15"/>
  <cols>
    <col min="1" max="1" width="14.25" style="4" customWidth="1"/>
    <col min="2" max="2" width="16" style="4" customWidth="1"/>
    <col min="3" max="3" width="14.25" style="4" customWidth="1"/>
    <col min="4" max="4" width="45.75" style="3" customWidth="1"/>
    <col min="5" max="9" width="14" style="3" customWidth="1"/>
    <col min="10" max="10" width="16.875" style="3" customWidth="1"/>
    <col min="11" max="16384" width="9" style="3"/>
  </cols>
  <sheetData>
    <row r="1" spans="1:10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s="2" customFormat="1" ht="24.95" customHeight="1" x14ac:dyDescent="0.15">
      <c r="A2" s="17" t="s">
        <v>35</v>
      </c>
      <c r="B2" s="17"/>
      <c r="C2" s="17"/>
      <c r="D2" s="17"/>
      <c r="E2" s="17"/>
      <c r="F2" s="17"/>
      <c r="G2" s="17"/>
      <c r="H2" s="17"/>
      <c r="I2" s="17"/>
      <c r="J2" s="17"/>
    </row>
    <row r="3" spans="1:10" s="38" customFormat="1" ht="24.95" customHeight="1" x14ac:dyDescent="0.15">
      <c r="A3" s="38" t="s">
        <v>14</v>
      </c>
      <c r="B3" s="38" t="s">
        <v>13</v>
      </c>
      <c r="C3" s="38" t="s">
        <v>41</v>
      </c>
      <c r="D3" s="38" t="s">
        <v>33</v>
      </c>
      <c r="E3" s="38" t="s">
        <v>11</v>
      </c>
      <c r="F3" s="38" t="s">
        <v>8</v>
      </c>
      <c r="G3" s="38" t="s">
        <v>4</v>
      </c>
      <c r="H3" s="38" t="s">
        <v>5</v>
      </c>
      <c r="I3" s="38" t="s">
        <v>32</v>
      </c>
      <c r="J3" s="38" t="s">
        <v>10</v>
      </c>
    </row>
    <row r="4" spans="1:10" ht="24.95" customHeight="1" x14ac:dyDescent="0.15">
      <c r="A4" s="4" t="s">
        <v>42</v>
      </c>
      <c r="B4" s="26">
        <v>44545</v>
      </c>
      <c r="C4" s="4" t="str">
        <f>VLOOKUP(入库[到货批号],到货[#All],6,0)&amp;""</f>
        <v>张三公司</v>
      </c>
      <c r="D4" s="3" t="str">
        <f>VLOOKUP(入库[到货批号],到货[#All],3,0)</f>
        <v>stk 35g 美颜BB霜 彩盒</v>
      </c>
      <c r="E4" s="4">
        <f>VLOOKUP(入库[到货批号],到货[#All],4,0)</f>
        <v>33</v>
      </c>
      <c r="F4" s="3" t="e">
        <f ca="1">VLOOKUP(入库[到货批号],到货[#All],5,0)</f>
        <v>#NAME?</v>
      </c>
      <c r="G4" s="3" t="str">
        <f>VLOOKUP(入库[到货批号],到货[#All],7,0)&amp;""</f>
        <v/>
      </c>
      <c r="H4" s="3" t="s">
        <v>47</v>
      </c>
      <c r="I4" s="3" t="str">
        <f>VLOOKUP(入库[到货批号],到货[#All],8,0)</f>
        <v>fd555</v>
      </c>
    </row>
    <row r="5" spans="1:10" ht="24.95" customHeight="1" x14ac:dyDescent="0.15">
      <c r="C5" s="4" t="e">
        <f>VLOOKUP(入库[到货批号],到货[#All],6,0)&amp;""</f>
        <v>#N/A</v>
      </c>
      <c r="D5" s="3" t="e">
        <f>VLOOKUP(入库[到货批号],到货[#All],3,0)</f>
        <v>#N/A</v>
      </c>
      <c r="E5" s="4" t="e">
        <f>VLOOKUP(入库[到货批号],到货[#All],4,0)</f>
        <v>#N/A</v>
      </c>
      <c r="F5" s="3" t="e">
        <f>VLOOKUP(入库[到货批号],到货[#All],5,0)</f>
        <v>#N/A</v>
      </c>
      <c r="G5" s="3" t="e">
        <f>VLOOKUP(入库[到货批号],到货[#All],7,0)&amp;""</f>
        <v>#N/A</v>
      </c>
      <c r="I5" s="3" t="e">
        <f>VLOOKUP(入库[到货批号],到货[#All],8,0)</f>
        <v>#N/A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landscape" horizontalDpi="180" verticalDpi="180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zoomScaleNormal="100" workbookViewId="0">
      <pane ySplit="5" topLeftCell="A6" activePane="bottomLeft" state="frozen"/>
      <selection pane="bottomLeft" activeCell="I14" sqref="I14"/>
    </sheetView>
  </sheetViews>
  <sheetFormatPr defaultColWidth="9" defaultRowHeight="21" customHeight="1" x14ac:dyDescent="0.15"/>
  <cols>
    <col min="1" max="1" width="5.625" style="33" customWidth="1"/>
    <col min="2" max="2" width="10.125" style="33" customWidth="1"/>
    <col min="3" max="3" width="37.375" style="14" customWidth="1"/>
    <col min="4" max="4" width="8.625" style="14" customWidth="1"/>
    <col min="5" max="5" width="13.5" style="14" customWidth="1"/>
    <col min="6" max="6" width="10.5" style="14" customWidth="1"/>
    <col min="7" max="7" width="11.875" style="14" customWidth="1"/>
    <col min="8" max="8" width="3" style="14" customWidth="1"/>
    <col min="9" max="9" width="17.25" style="14" customWidth="1"/>
    <col min="10" max="16384" width="9" style="14"/>
  </cols>
  <sheetData>
    <row r="1" spans="1:9" s="29" customFormat="1" ht="21" customHeight="1" x14ac:dyDescent="0.15">
      <c r="A1" s="36" t="str">
        <f>com</f>
        <v>广州XXX科技有限公司</v>
      </c>
      <c r="B1" s="36"/>
      <c r="C1" s="36"/>
      <c r="D1" s="36"/>
      <c r="E1" s="36"/>
      <c r="F1" s="36"/>
      <c r="G1" s="36"/>
      <c r="H1" s="25"/>
    </row>
    <row r="2" spans="1:9" s="31" customFormat="1" ht="21" customHeight="1" x14ac:dyDescent="0.15">
      <c r="A2" s="37" t="s">
        <v>29</v>
      </c>
      <c r="B2" s="37"/>
      <c r="C2" s="37"/>
      <c r="D2" s="37"/>
      <c r="E2" s="37"/>
      <c r="F2" s="37"/>
      <c r="G2" s="37"/>
      <c r="H2" s="30"/>
      <c r="I2" s="6" t="s">
        <v>15</v>
      </c>
    </row>
    <row r="3" spans="1:9" ht="21" customHeight="1" x14ac:dyDescent="0.15">
      <c r="A3" s="27" t="str">
        <f ca="1">" 日期："&amp;TEXT(IFERROR(VLOOKUP(I4,入库[#All],2,0),NOW()),"yyyy年m月d日")</f>
        <v xml:space="preserve"> 日期：2021年12月15日</v>
      </c>
      <c r="B3" s="18"/>
      <c r="C3" s="18"/>
      <c r="G3" s="19" t="str">
        <f>"№："&amp;I4</f>
        <v>№：i001</v>
      </c>
      <c r="H3" s="25"/>
      <c r="I3" s="7" t="s">
        <v>16</v>
      </c>
    </row>
    <row r="4" spans="1:9" ht="21" customHeight="1" x14ac:dyDescent="0.15">
      <c r="A4" s="28" t="str">
        <f>" 供应商："&amp;IFERROR(VLOOKUP(I4,入库[#All],3,0)," -")</f>
        <v xml:space="preserve"> 供应商：张三公司</v>
      </c>
      <c r="B4" s="18"/>
      <c r="C4" s="20"/>
      <c r="D4" s="20"/>
      <c r="E4" s="20"/>
      <c r="F4" s="20"/>
      <c r="G4" s="21" t="s">
        <v>54</v>
      </c>
      <c r="H4" s="32"/>
      <c r="I4" s="8" t="s">
        <v>43</v>
      </c>
    </row>
    <row r="5" spans="1:9" s="10" customFormat="1" ht="21" customHeight="1" x14ac:dyDescent="0.15">
      <c r="A5" s="9" t="s">
        <v>17</v>
      </c>
      <c r="B5" s="9" t="s">
        <v>53</v>
      </c>
      <c r="C5" s="9" t="s">
        <v>33</v>
      </c>
      <c r="D5" s="9" t="s">
        <v>18</v>
      </c>
      <c r="E5" s="9" t="s">
        <v>8</v>
      </c>
      <c r="F5" s="9" t="s">
        <v>19</v>
      </c>
      <c r="G5" s="9" t="s">
        <v>10</v>
      </c>
    </row>
    <row r="6" spans="1:9" ht="21" customHeight="1" x14ac:dyDescent="0.15">
      <c r="A6" s="11">
        <f>ROW()-5</f>
        <v>1</v>
      </c>
      <c r="B6" s="11" t="str">
        <f>IF(ROW()-5&gt;COUNTIF(入库[入库单号],$I$4),"",IFERROR(INDEX(入库[],MATCH($I$4,入库[入库单号],0)+ROW()-6,9),""))</f>
        <v>fd555</v>
      </c>
      <c r="C6" s="15" t="str">
        <f>IF(ROW()-5&gt;COUNTIF(入库[入库单号],$I$4),"",IFERROR(INDEX(入库[],MATCH($I$4,入库[入库单号],0)+ROW()-6,4),""))</f>
        <v>stk 35g 美颜BB霜 彩盒</v>
      </c>
      <c r="D6" s="11">
        <f>IF(ROW()-5&gt;COUNTIF(入库[入库单号],$I$4),"",IFERROR(INDEX(入库[],MATCH($I$4,入库[入库单号],0)+ROW()-6,5),""))</f>
        <v>33</v>
      </c>
      <c r="E6" s="12" t="str">
        <f ca="1">IF(ROW()-5&gt;COUNTIF(入库[入库单号],$I$4),"",IFERROR(INDEX(入库[],MATCH($I$4,入库[入库单号],0)+ROW()-6,6),""))</f>
        <v/>
      </c>
      <c r="F6" s="12" t="str">
        <f>IF(ROW()-5&gt;COUNTIF(入库[入库单号],$I$4),"",IFERROR(INDEX(入库[],MATCH($I$4,入库[入库单号],0)+ROW()-6,8),""))</f>
        <v>d001</v>
      </c>
      <c r="G6" s="13" t="str">
        <f>IF(ROW()-5&gt;COUNTIF(入库[入库单号],$I$4),"",IFERROR(INDEX(入库[],MATCH($I$4,入库[入库单号],0)+ROW()-6,7),""))</f>
        <v/>
      </c>
    </row>
    <row r="7" spans="1:9" ht="21" customHeight="1" x14ac:dyDescent="0.15">
      <c r="A7" s="11">
        <f t="shared" ref="A7:A15" si="0">ROW()-5</f>
        <v>2</v>
      </c>
      <c r="B7" s="11" t="str">
        <f>IF(ROW()-5&gt;COUNTIF(入库[入库单号],$I$4),"",IFERROR(INDEX(入库[],MATCH($I$4,入库[入库单号],0)+ROW()-6,9),""))</f>
        <v/>
      </c>
      <c r="C7" s="15" t="str">
        <f>IF(ROW()-5&gt;COUNTIF(入库[入库单号],$I$4),"",IFERROR(INDEX(入库[],MATCH($I$4,入库[入库单号],0)+ROW()-6,4),""))</f>
        <v/>
      </c>
      <c r="D7" s="11" t="str">
        <f>IF(ROW()-5&gt;COUNTIF(入库[入库单号],$I$4),"",IFERROR(INDEX(入库[],MATCH($I$4,入库[入库单号],0)+ROW()-6,5),""))</f>
        <v/>
      </c>
      <c r="E7" s="12" t="str">
        <f>IF(ROW()-5&gt;COUNTIF(入库[入库单号],$I$4),"",IFERROR(INDEX(入库[],MATCH($I$4,入库[入库单号],0)+ROW()-6,6),""))</f>
        <v/>
      </c>
      <c r="F7" s="12" t="str">
        <f>IF(ROW()-5&gt;COUNTIF(入库[入库单号],$I$4),"",IFERROR(INDEX(入库[],MATCH($I$4,入库[入库单号],0)+ROW()-6,8),""))</f>
        <v/>
      </c>
      <c r="G7" s="13" t="str">
        <f>IF(ROW()-5&gt;COUNTIF(入库[入库单号],$I$4),"",IFERROR(INDEX(入库[],MATCH($I$4,入库[入库单号],0)+ROW()-6,7),""))</f>
        <v/>
      </c>
    </row>
    <row r="8" spans="1:9" ht="21" customHeight="1" x14ac:dyDescent="0.15">
      <c r="A8" s="11">
        <f t="shared" si="0"/>
        <v>3</v>
      </c>
      <c r="B8" s="11" t="str">
        <f>IF(ROW()-5&gt;COUNTIF(入库[入库单号],$I$4),"",IFERROR(INDEX(入库[],MATCH($I$4,入库[入库单号],0)+ROW()-6,9),""))</f>
        <v/>
      </c>
      <c r="C8" s="15" t="str">
        <f>IF(ROW()-5&gt;COUNTIF(入库[入库单号],$I$4),"",IFERROR(INDEX(入库[],MATCH($I$4,入库[入库单号],0)+ROW()-6,4),""))</f>
        <v/>
      </c>
      <c r="D8" s="11" t="str">
        <f>IF(ROW()-5&gt;COUNTIF(入库[入库单号],$I$4),"",IFERROR(INDEX(入库[],MATCH($I$4,入库[入库单号],0)+ROW()-6,5),""))</f>
        <v/>
      </c>
      <c r="E8" s="12" t="str">
        <f>IF(ROW()-5&gt;COUNTIF(入库[入库单号],$I$4),"",IFERROR(INDEX(入库[],MATCH($I$4,入库[入库单号],0)+ROW()-6,6),""))</f>
        <v/>
      </c>
      <c r="F8" s="12" t="str">
        <f>IF(ROW()-5&gt;COUNTIF(入库[入库单号],$I$4),"",IFERROR(INDEX(入库[],MATCH($I$4,入库[入库单号],0)+ROW()-6,8),""))</f>
        <v/>
      </c>
      <c r="G8" s="13" t="str">
        <f>IF(ROW()-5&gt;COUNTIF(入库[入库单号],$I$4),"",IFERROR(INDEX(入库[],MATCH($I$4,入库[入库单号],0)+ROW()-6,7),""))</f>
        <v/>
      </c>
    </row>
    <row r="9" spans="1:9" ht="21" customHeight="1" x14ac:dyDescent="0.15">
      <c r="A9" s="11">
        <f t="shared" si="0"/>
        <v>4</v>
      </c>
      <c r="B9" s="11" t="str">
        <f>IF(ROW()-5&gt;COUNTIF(入库[入库单号],$I$4),"",IFERROR(INDEX(入库[],MATCH($I$4,入库[入库单号],0)+ROW()-6,9),""))</f>
        <v/>
      </c>
      <c r="C9" s="15" t="str">
        <f>IF(ROW()-5&gt;COUNTIF(入库[入库单号],$I$4),"",IFERROR(INDEX(入库[],MATCH($I$4,入库[入库单号],0)+ROW()-6,4),""))</f>
        <v/>
      </c>
      <c r="D9" s="11" t="str">
        <f>IF(ROW()-5&gt;COUNTIF(入库[入库单号],$I$4),"",IFERROR(INDEX(入库[],MATCH($I$4,入库[入库单号],0)+ROW()-6,5),""))</f>
        <v/>
      </c>
      <c r="E9" s="12" t="str">
        <f>IF(ROW()-5&gt;COUNTIF(入库[入库单号],$I$4),"",IFERROR(INDEX(入库[],MATCH($I$4,入库[入库单号],0)+ROW()-6,6),""))</f>
        <v/>
      </c>
      <c r="F9" s="12" t="str">
        <f>IF(ROW()-5&gt;COUNTIF(入库[入库单号],$I$4),"",IFERROR(INDEX(入库[],MATCH($I$4,入库[入库单号],0)+ROW()-6,8),""))</f>
        <v/>
      </c>
      <c r="G9" s="13" t="str">
        <f>IF(ROW()-5&gt;COUNTIF(入库[入库单号],$I$4),"",IFERROR(INDEX(入库[],MATCH($I$4,入库[入库单号],0)+ROW()-6,7),""))</f>
        <v/>
      </c>
    </row>
    <row r="10" spans="1:9" ht="21" customHeight="1" x14ac:dyDescent="0.15">
      <c r="A10" s="11">
        <f t="shared" si="0"/>
        <v>5</v>
      </c>
      <c r="B10" s="11" t="str">
        <f>IF(ROW()-5&gt;COUNTIF(入库[入库单号],$I$4),"",IFERROR(INDEX(入库[],MATCH($I$4,入库[入库单号],0)+ROW()-6,9),""))</f>
        <v/>
      </c>
      <c r="C10" s="15" t="str">
        <f>IF(ROW()-5&gt;COUNTIF(入库[入库单号],$I$4),"",IFERROR(INDEX(入库[],MATCH($I$4,入库[入库单号],0)+ROW()-6,4),""))</f>
        <v/>
      </c>
      <c r="D10" s="11" t="str">
        <f>IF(ROW()-5&gt;COUNTIF(入库[入库单号],$I$4),"",IFERROR(INDEX(入库[],MATCH($I$4,入库[入库单号],0)+ROW()-6,5),""))</f>
        <v/>
      </c>
      <c r="E10" s="12" t="str">
        <f>IF(ROW()-5&gt;COUNTIF(入库[入库单号],$I$4),"",IFERROR(INDEX(入库[],MATCH($I$4,入库[入库单号],0)+ROW()-6,6),""))</f>
        <v/>
      </c>
      <c r="F10" s="12" t="str">
        <f>IF(ROW()-5&gt;COUNTIF(入库[入库单号],$I$4),"",IFERROR(INDEX(入库[],MATCH($I$4,入库[入库单号],0)+ROW()-6,8),""))</f>
        <v/>
      </c>
      <c r="G10" s="13" t="str">
        <f>IF(ROW()-5&gt;COUNTIF(入库[入库单号],$I$4),"",IFERROR(INDEX(入库[],MATCH($I$4,入库[入库单号],0)+ROW()-6,7),""))</f>
        <v/>
      </c>
    </row>
    <row r="11" spans="1:9" ht="21" customHeight="1" x14ac:dyDescent="0.15">
      <c r="A11" s="11">
        <f t="shared" si="0"/>
        <v>6</v>
      </c>
      <c r="B11" s="11" t="str">
        <f>IF(ROW()-5&gt;COUNTIF(入库[入库单号],$I$4),"",IFERROR(INDEX(入库[],MATCH($I$4,入库[入库单号],0)+ROW()-6,9),""))</f>
        <v/>
      </c>
      <c r="C11" s="15" t="str">
        <f>IF(ROW()-5&gt;COUNTIF(入库[入库单号],$I$4),"",IFERROR(INDEX(入库[],MATCH($I$4,入库[入库单号],0)+ROW()-6,4),""))</f>
        <v/>
      </c>
      <c r="D11" s="11" t="str">
        <f>IF(ROW()-5&gt;COUNTIF(入库[入库单号],$I$4),"",IFERROR(INDEX(入库[],MATCH($I$4,入库[入库单号],0)+ROW()-6,5),""))</f>
        <v/>
      </c>
      <c r="E11" s="12" t="str">
        <f>IF(ROW()-5&gt;COUNTIF(入库[入库单号],$I$4),"",IFERROR(INDEX(入库[],MATCH($I$4,入库[入库单号],0)+ROW()-6,6),""))</f>
        <v/>
      </c>
      <c r="F11" s="12" t="str">
        <f>IF(ROW()-5&gt;COUNTIF(入库[入库单号],$I$4),"",IFERROR(INDEX(入库[],MATCH($I$4,入库[入库单号],0)+ROW()-6,8),""))</f>
        <v/>
      </c>
      <c r="G11" s="13" t="str">
        <f>IF(ROW()-5&gt;COUNTIF(入库[入库单号],$I$4),"",IFERROR(INDEX(入库[],MATCH($I$4,入库[入库单号],0)+ROW()-6,7),""))</f>
        <v/>
      </c>
    </row>
    <row r="12" spans="1:9" ht="21" customHeight="1" x14ac:dyDescent="0.15">
      <c r="A12" s="11">
        <f t="shared" si="0"/>
        <v>7</v>
      </c>
      <c r="B12" s="11" t="str">
        <f>IF(ROW()-5&gt;COUNTIF(入库[入库单号],$I$4),"",IFERROR(INDEX(入库[],MATCH($I$4,入库[入库单号],0)+ROW()-6,9),""))</f>
        <v/>
      </c>
      <c r="C12" s="15" t="str">
        <f>IF(ROW()-5&gt;COUNTIF(入库[入库单号],$I$4),"",IFERROR(INDEX(入库[],MATCH($I$4,入库[入库单号],0)+ROW()-6,4),""))</f>
        <v/>
      </c>
      <c r="D12" s="11" t="str">
        <f>IF(ROW()-5&gt;COUNTIF(入库[入库单号],$I$4),"",IFERROR(INDEX(入库[],MATCH($I$4,入库[入库单号],0)+ROW()-6,5),""))</f>
        <v/>
      </c>
      <c r="E12" s="12" t="str">
        <f>IF(ROW()-5&gt;COUNTIF(入库[入库单号],$I$4),"",IFERROR(INDEX(入库[],MATCH($I$4,入库[入库单号],0)+ROW()-6,6),""))</f>
        <v/>
      </c>
      <c r="F12" s="12" t="str">
        <f>IF(ROW()-5&gt;COUNTIF(入库[入库单号],$I$4),"",IFERROR(INDEX(入库[],MATCH($I$4,入库[入库单号],0)+ROW()-6,8),""))</f>
        <v/>
      </c>
      <c r="G12" s="13" t="str">
        <f>IF(ROW()-5&gt;COUNTIF(入库[入库单号],$I$4),"",IFERROR(INDEX(入库[],MATCH($I$4,入库[入库单号],0)+ROW()-6,7),""))</f>
        <v/>
      </c>
    </row>
    <row r="13" spans="1:9" ht="21" customHeight="1" x14ac:dyDescent="0.15">
      <c r="A13" s="11">
        <f t="shared" si="0"/>
        <v>8</v>
      </c>
      <c r="B13" s="11" t="str">
        <f>IF(ROW()-5&gt;COUNTIF(入库[入库单号],$I$4),"",IFERROR(INDEX(入库[],MATCH($I$4,入库[入库单号],0)+ROW()-6,9),""))</f>
        <v/>
      </c>
      <c r="C13" s="15" t="str">
        <f>IF(ROW()-5&gt;COUNTIF(入库[入库单号],$I$4),"",IFERROR(INDEX(入库[],MATCH($I$4,入库[入库单号],0)+ROW()-6,4),""))</f>
        <v/>
      </c>
      <c r="D13" s="11" t="str">
        <f>IF(ROW()-5&gt;COUNTIF(入库[入库单号],$I$4),"",IFERROR(INDEX(入库[],MATCH($I$4,入库[入库单号],0)+ROW()-6,5),""))</f>
        <v/>
      </c>
      <c r="E13" s="12" t="str">
        <f>IF(ROW()-5&gt;COUNTIF(入库[入库单号],$I$4),"",IFERROR(INDEX(入库[],MATCH($I$4,入库[入库单号],0)+ROW()-6,6),""))</f>
        <v/>
      </c>
      <c r="F13" s="12" t="str">
        <f>IF(ROW()-5&gt;COUNTIF(入库[入库单号],$I$4),"",IFERROR(INDEX(入库[],MATCH($I$4,入库[入库单号],0)+ROW()-6,8),""))</f>
        <v/>
      </c>
      <c r="G13" s="13" t="str">
        <f>IF(ROW()-5&gt;COUNTIF(入库[入库单号],$I$4),"",IFERROR(INDEX(入库[],MATCH($I$4,入库[入库单号],0)+ROW()-6,7),""))</f>
        <v/>
      </c>
    </row>
    <row r="14" spans="1:9" ht="21" customHeight="1" x14ac:dyDescent="0.15">
      <c r="A14" s="11">
        <f t="shared" si="0"/>
        <v>9</v>
      </c>
      <c r="B14" s="11" t="str">
        <f>IF(ROW()-5&gt;COUNTIF(入库[入库单号],$I$4),"",IFERROR(INDEX(入库[],MATCH($I$4,入库[入库单号],0)+ROW()-6,9),""))</f>
        <v/>
      </c>
      <c r="C14" s="15" t="str">
        <f>IF(ROW()-5&gt;COUNTIF(入库[入库单号],$I$4),"",IFERROR(INDEX(入库[],MATCH($I$4,入库[入库单号],0)+ROW()-6,4),""))</f>
        <v/>
      </c>
      <c r="D14" s="11" t="str">
        <f>IF(ROW()-5&gt;COUNTIF(入库[入库单号],$I$4),"",IFERROR(INDEX(入库[],MATCH($I$4,入库[入库单号],0)+ROW()-6,5),""))</f>
        <v/>
      </c>
      <c r="E14" s="12" t="str">
        <f>IF(ROW()-5&gt;COUNTIF(入库[入库单号],$I$4),"",IFERROR(INDEX(入库[],MATCH($I$4,入库[入库单号],0)+ROW()-6,6),""))</f>
        <v/>
      </c>
      <c r="F14" s="12" t="str">
        <f>IF(ROW()-5&gt;COUNTIF(入库[入库单号],$I$4),"",IFERROR(INDEX(入库[],MATCH($I$4,入库[入库单号],0)+ROW()-6,8),""))</f>
        <v/>
      </c>
      <c r="G14" s="13" t="str">
        <f>IF(ROW()-5&gt;COUNTIF(入库[入库单号],$I$4),"",IFERROR(INDEX(入库[],MATCH($I$4,入库[入库单号],0)+ROW()-6,7),""))</f>
        <v/>
      </c>
    </row>
    <row r="15" spans="1:9" ht="21" customHeight="1" x14ac:dyDescent="0.15">
      <c r="A15" s="11">
        <f t="shared" si="0"/>
        <v>10</v>
      </c>
      <c r="B15" s="11" t="str">
        <f>IF(ROW()-5&gt;COUNTIF(入库[入库单号],$I$4),"",IFERROR(INDEX(入库[],MATCH($I$4,入库[入库单号],0)+ROW()-6,9),""))</f>
        <v/>
      </c>
      <c r="C15" s="15" t="str">
        <f>IF(ROW()-5&gt;COUNTIF(入库[入库单号],$I$4),"",IFERROR(INDEX(入库[],MATCH($I$4,入库[入库单号],0)+ROW()-6,4),""))</f>
        <v/>
      </c>
      <c r="D15" s="11" t="str">
        <f>IF(ROW()-5&gt;COUNTIF(入库[入库单号],$I$4),"",IFERROR(INDEX(入库[],MATCH($I$4,入库[入库单号],0)+ROW()-6,5),""))</f>
        <v/>
      </c>
      <c r="E15" s="12" t="str">
        <f>IF(ROW()-5&gt;COUNTIF(入库[入库单号],$I$4),"",IFERROR(INDEX(入库[],MATCH($I$4,入库[入库单号],0)+ROW()-6,6),""))</f>
        <v/>
      </c>
      <c r="F15" s="12" t="str">
        <f>IF(ROW()-5&gt;COUNTIF(入库[入库单号],$I$4),"",IFERROR(INDEX(入库[],MATCH($I$4,入库[入库单号],0)+ROW()-6,8),""))</f>
        <v/>
      </c>
      <c r="G15" s="13" t="str">
        <f>IF(ROW()-5&gt;COUNTIF(入库[入库单号],$I$4),"",IFERROR(INDEX(入库[],MATCH($I$4,入库[入库单号],0)+ROW()-6,7),""))</f>
        <v/>
      </c>
    </row>
  </sheetData>
  <mergeCells count="2">
    <mergeCell ref="A1:G1"/>
    <mergeCell ref="A2:G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5"/>
  <sheetViews>
    <sheetView workbookViewId="0">
      <pane ySplit="3" topLeftCell="A4" activePane="bottomLeft" state="frozen"/>
      <selection pane="bottomLeft" activeCell="F10" sqref="F10"/>
    </sheetView>
  </sheetViews>
  <sheetFormatPr defaultRowHeight="24.95" customHeight="1" x14ac:dyDescent="0.15"/>
  <cols>
    <col min="1" max="1" width="12.25" style="4" customWidth="1"/>
    <col min="2" max="2" width="14.25" style="4" customWidth="1"/>
    <col min="3" max="3" width="28.25" style="4" customWidth="1"/>
    <col min="4" max="4" width="11.375" style="4" customWidth="1"/>
    <col min="5" max="5" width="11.125" style="4" customWidth="1"/>
    <col min="6" max="6" width="34" style="3" customWidth="1"/>
    <col min="7" max="7" width="12.25" style="3" customWidth="1"/>
    <col min="8" max="8" width="11" style="3" customWidth="1"/>
    <col min="9" max="9" width="11.875" style="3" customWidth="1"/>
    <col min="10" max="11" width="14" style="3" customWidth="1"/>
    <col min="12" max="12" width="9.75" style="3" customWidth="1"/>
    <col min="13" max="16384" width="9" style="3"/>
  </cols>
  <sheetData>
    <row r="1" spans="1:12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s="2" customFormat="1" ht="24.95" customHeight="1" x14ac:dyDescent="0.15">
      <c r="A2" s="17" t="s">
        <v>22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s="38" customFormat="1" ht="24.95" customHeight="1" x14ac:dyDescent="0.15">
      <c r="A3" s="38" t="s">
        <v>20</v>
      </c>
      <c r="B3" s="38" t="s">
        <v>21</v>
      </c>
      <c r="C3" s="38" t="s">
        <v>68</v>
      </c>
      <c r="D3" s="38" t="s">
        <v>23</v>
      </c>
      <c r="E3" s="38" t="s">
        <v>51</v>
      </c>
      <c r="F3" s="38" t="s">
        <v>33</v>
      </c>
      <c r="G3" s="38" t="s">
        <v>24</v>
      </c>
      <c r="H3" s="38" t="s">
        <v>25</v>
      </c>
      <c r="I3" s="38" t="s">
        <v>27</v>
      </c>
      <c r="J3" s="38" t="s">
        <v>28</v>
      </c>
      <c r="K3" s="38" t="s">
        <v>26</v>
      </c>
      <c r="L3" s="38" t="s">
        <v>10</v>
      </c>
    </row>
    <row r="4" spans="1:12" ht="24.95" customHeight="1" x14ac:dyDescent="0.15">
      <c r="A4" s="4" t="s">
        <v>56</v>
      </c>
      <c r="B4" s="26">
        <v>44546</v>
      </c>
      <c r="C4" s="4" t="s">
        <v>57</v>
      </c>
      <c r="D4" s="4">
        <v>30</v>
      </c>
      <c r="E4" s="4" t="s">
        <v>36</v>
      </c>
      <c r="F4" s="3" t="str">
        <f>IFERROR(VLOOKUP(生产[[#This Row],[物料编号]],库存[#All],2,0),"")</f>
        <v>stk 35g 美颜BB霜 彩盒</v>
      </c>
      <c r="G4" s="4">
        <v>30</v>
      </c>
      <c r="H4" s="4">
        <v>3</v>
      </c>
      <c r="I4" s="4">
        <v>1</v>
      </c>
      <c r="J4" s="4">
        <v>2</v>
      </c>
      <c r="K4" s="3" t="s">
        <v>78</v>
      </c>
    </row>
    <row r="5" spans="1:12" ht="24.95" customHeight="1" x14ac:dyDescent="0.15">
      <c r="A5" s="4" t="s">
        <v>56</v>
      </c>
      <c r="B5" s="26">
        <v>44546</v>
      </c>
      <c r="E5" s="4" t="s">
        <v>76</v>
      </c>
      <c r="F5" s="3" t="str">
        <f>IFERROR(VLOOKUP(生产[[#This Row],[物料编号]],库存[#All],2,0),"")</f>
        <v>stk 35g 美颜BB霜 软管</v>
      </c>
      <c r="G5" s="4">
        <v>30</v>
      </c>
      <c r="H5" s="4"/>
      <c r="I5" s="4"/>
      <c r="J5" s="4"/>
    </row>
  </sheetData>
  <phoneticPr fontId="1" type="noConversion"/>
  <printOptions horizontalCentered="1"/>
  <pageMargins left="0.25" right="0.25" top="0.75" bottom="0.75" header="0.3" footer="0.3"/>
  <pageSetup paperSize="9" scale="79" fitToHeight="0" orientation="landscape" r:id="rId1"/>
  <headerFooter scaleWithDoc="0">
    <oddFooter>&amp;C第 &amp;P 页，共 &amp;N 页，&amp;D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zoomScaleNormal="100" workbookViewId="0">
      <pane ySplit="5" topLeftCell="A6" activePane="bottomLeft" state="frozen"/>
      <selection pane="bottomLeft" activeCell="C17" sqref="C17"/>
    </sheetView>
  </sheetViews>
  <sheetFormatPr defaultColWidth="9" defaultRowHeight="21" customHeight="1" x14ac:dyDescent="0.15"/>
  <cols>
    <col min="1" max="1" width="9.125" style="33" customWidth="1"/>
    <col min="2" max="2" width="31.25" style="14" customWidth="1"/>
    <col min="3" max="8" width="8.625" style="14" customWidth="1"/>
    <col min="9" max="9" width="9" style="14" customWidth="1"/>
    <col min="10" max="10" width="3" style="14" customWidth="1"/>
    <col min="11" max="11" width="17.25" style="14" customWidth="1"/>
    <col min="12" max="16384" width="9" style="14"/>
  </cols>
  <sheetData>
    <row r="1" spans="1:11" s="29" customFormat="1" ht="21" customHeight="1" x14ac:dyDescent="0.15">
      <c r="A1" s="36" t="str">
        <f>com</f>
        <v>广州XXX科技有限公司</v>
      </c>
      <c r="B1" s="36"/>
      <c r="C1" s="36"/>
      <c r="D1" s="36"/>
      <c r="E1" s="36"/>
      <c r="F1" s="36"/>
      <c r="G1" s="36"/>
      <c r="H1" s="36"/>
      <c r="I1" s="36"/>
      <c r="J1" s="25"/>
    </row>
    <row r="2" spans="1:11" s="31" customFormat="1" ht="21" customHeight="1" x14ac:dyDescent="0.15">
      <c r="A2" s="37" t="s">
        <v>58</v>
      </c>
      <c r="B2" s="37"/>
      <c r="C2" s="37"/>
      <c r="D2" s="37"/>
      <c r="E2" s="37"/>
      <c r="F2" s="37"/>
      <c r="G2" s="37"/>
      <c r="H2" s="37"/>
      <c r="I2" s="37"/>
      <c r="J2" s="30"/>
      <c r="K2" s="6" t="s">
        <v>15</v>
      </c>
    </row>
    <row r="3" spans="1:11" ht="21" customHeight="1" x14ac:dyDescent="0.15">
      <c r="A3" s="27" t="str">
        <f ca="1">" 日期："&amp;TEXT(IFERROR(VLOOKUP(K4,生产[#All],2,0),NOW()),"yyyy年m月d日")</f>
        <v xml:space="preserve"> 日期：2021年12月16日</v>
      </c>
      <c r="B3" s="18"/>
      <c r="I3" s="19" t="str">
        <f>"№："&amp;K4</f>
        <v>№：p001</v>
      </c>
      <c r="J3" s="25"/>
      <c r="K3" s="7" t="s">
        <v>16</v>
      </c>
    </row>
    <row r="4" spans="1:11" ht="21" customHeight="1" x14ac:dyDescent="0.15">
      <c r="A4" s="28" t="str">
        <f>" 生产说明："&amp;IFERROR(VLOOKUP(K4,生产[#All],3,0)&amp;" "&amp;VLOOKUP(K4,生产[#All],4,0)&amp;" PCS"," -")</f>
        <v xml:space="preserve"> 生产说明：stk 35g 美颜BB霜 30 PCS</v>
      </c>
      <c r="B4" s="20"/>
      <c r="C4" s="20"/>
      <c r="D4" s="20"/>
      <c r="E4" s="20"/>
      <c r="F4" s="20"/>
      <c r="G4" s="20"/>
      <c r="H4" s="20"/>
      <c r="I4" s="21" t="s">
        <v>54</v>
      </c>
      <c r="J4" s="32"/>
      <c r="K4" s="8" t="s">
        <v>55</v>
      </c>
    </row>
    <row r="5" spans="1:11" s="10" customFormat="1" ht="21" customHeight="1" x14ac:dyDescent="0.15">
      <c r="A5" s="9" t="s">
        <v>53</v>
      </c>
      <c r="B5" s="9" t="s">
        <v>33</v>
      </c>
      <c r="C5" s="9" t="s">
        <v>24</v>
      </c>
      <c r="D5" s="9" t="s">
        <v>52</v>
      </c>
      <c r="E5" s="9" t="s">
        <v>25</v>
      </c>
      <c r="F5" s="9" t="s">
        <v>27</v>
      </c>
      <c r="G5" s="9" t="s">
        <v>28</v>
      </c>
      <c r="H5" s="9" t="s">
        <v>26</v>
      </c>
      <c r="I5" s="9" t="s">
        <v>10</v>
      </c>
    </row>
    <row r="6" spans="1:11" ht="21" customHeight="1" x14ac:dyDescent="0.15">
      <c r="A6" s="11" t="str">
        <f>IF(ROW()-5&gt;COUNTIF(生产[领料单号],$K$4),"",IFERROR(INDEX(生产[],MATCH($K$4,生产[领料单号],0)+ROW()-6,5),""))</f>
        <v>fd555</v>
      </c>
      <c r="B6" s="15" t="str">
        <f>IF(ROW()-5&gt;COUNTIF(生产[领料单号],$K$4),"",IFERROR(INDEX(生产[],MATCH($K$4,生产[领料单号],0)+ROW()-6,6),""))</f>
        <v>stk 35g 美颜BB霜 彩盒</v>
      </c>
      <c r="C6" s="11">
        <f>IF(ROW()-5&gt;COUNTIF(生产[领料单号],$K$4),"",IFERROR(INDEX(生产[],MATCH($K$4,生产[领料单号],0)+ROW()-6,7),""))</f>
        <v>30</v>
      </c>
      <c r="D6" s="34"/>
      <c r="E6" s="34"/>
      <c r="F6" s="34"/>
      <c r="G6" s="34"/>
      <c r="H6" s="34"/>
      <c r="I6" s="35"/>
    </row>
    <row r="7" spans="1:11" ht="21" customHeight="1" x14ac:dyDescent="0.15">
      <c r="A7" s="11" t="str">
        <f>IF(ROW()-5&gt;COUNTIF(生产[领料单号],$K$4),"",IFERROR(INDEX(生产[],MATCH($K$4,生产[领料单号],0)+ROW()-6,5),""))</f>
        <v>fd666</v>
      </c>
      <c r="B7" s="15" t="str">
        <f>IF(ROW()-5&gt;COUNTIF(生产[领料单号],$K$4),"",IFERROR(INDEX(生产[],MATCH($K$4,生产[领料单号],0)+ROW()-6,6),""))</f>
        <v>stk 35g 美颜BB霜 软管</v>
      </c>
      <c r="C7" s="11">
        <f>IF(ROW()-5&gt;COUNTIF(生产[领料单号],$K$4),"",IFERROR(INDEX(生产[],MATCH($K$4,生产[领料单号],0)+ROW()-6,7),""))</f>
        <v>30</v>
      </c>
      <c r="D7" s="34"/>
      <c r="E7" s="34"/>
      <c r="F7" s="34"/>
      <c r="G7" s="34"/>
      <c r="H7" s="34"/>
      <c r="I7" s="35"/>
    </row>
    <row r="8" spans="1:11" ht="21" customHeight="1" x14ac:dyDescent="0.15">
      <c r="A8" s="11" t="str">
        <f>IF(ROW()-5&gt;COUNTIF(生产[领料单号],$K$4),"",IFERROR(INDEX(生产[],MATCH($K$4,生产[领料单号],0)+ROW()-6,5),""))</f>
        <v/>
      </c>
      <c r="B8" s="15" t="str">
        <f>IF(ROW()-5&gt;COUNTIF(生产[领料单号],$K$4),"",IFERROR(INDEX(生产[],MATCH($K$4,生产[领料单号],0)+ROW()-6,6),""))</f>
        <v/>
      </c>
      <c r="C8" s="11" t="str">
        <f>IF(ROW()-5&gt;COUNTIF(生产[领料单号],$K$4),"",IFERROR(INDEX(生产[],MATCH($K$4,生产[领料单号],0)+ROW()-6,7),""))</f>
        <v/>
      </c>
      <c r="D8" s="34"/>
      <c r="E8" s="34"/>
      <c r="F8" s="34"/>
      <c r="G8" s="34"/>
      <c r="H8" s="34"/>
      <c r="I8" s="35"/>
    </row>
    <row r="9" spans="1:11" ht="21" customHeight="1" x14ac:dyDescent="0.15">
      <c r="A9" s="11" t="str">
        <f>IF(ROW()-5&gt;COUNTIF(生产[领料单号],$K$4),"",IFERROR(INDEX(生产[],MATCH($K$4,生产[领料单号],0)+ROW()-6,5),""))</f>
        <v/>
      </c>
      <c r="B9" s="15" t="str">
        <f>IF(ROW()-5&gt;COUNTIF(生产[领料单号],$K$4),"",IFERROR(INDEX(生产[],MATCH($K$4,生产[领料单号],0)+ROW()-6,6),""))</f>
        <v/>
      </c>
      <c r="C9" s="11" t="str">
        <f>IF(ROW()-5&gt;COUNTIF(生产[领料单号],$K$4),"",IFERROR(INDEX(生产[],MATCH($K$4,生产[领料单号],0)+ROW()-6,7),""))</f>
        <v/>
      </c>
      <c r="D9" s="34"/>
      <c r="E9" s="34"/>
      <c r="F9" s="34"/>
      <c r="G9" s="34"/>
      <c r="H9" s="34"/>
      <c r="I9" s="35"/>
    </row>
    <row r="10" spans="1:11" ht="21" customHeight="1" x14ac:dyDescent="0.15">
      <c r="A10" s="11" t="str">
        <f>IF(ROW()-5&gt;COUNTIF(生产[领料单号],$K$4),"",IFERROR(INDEX(生产[],MATCH($K$4,生产[领料单号],0)+ROW()-6,5),""))</f>
        <v/>
      </c>
      <c r="B10" s="15" t="str">
        <f>IF(ROW()-5&gt;COUNTIF(生产[领料单号],$K$4),"",IFERROR(INDEX(生产[],MATCH($K$4,生产[领料单号],0)+ROW()-6,6),""))</f>
        <v/>
      </c>
      <c r="C10" s="11" t="str">
        <f>IF(ROW()-5&gt;COUNTIF(生产[领料单号],$K$4),"",IFERROR(INDEX(生产[],MATCH($K$4,生产[领料单号],0)+ROW()-6,7),""))</f>
        <v/>
      </c>
      <c r="D10" s="34"/>
      <c r="E10" s="34"/>
      <c r="F10" s="34"/>
      <c r="G10" s="34"/>
      <c r="H10" s="34"/>
      <c r="I10" s="35"/>
    </row>
    <row r="11" spans="1:11" ht="21" customHeight="1" x14ac:dyDescent="0.15">
      <c r="A11" s="11" t="str">
        <f>IF(ROW()-5&gt;COUNTIF(生产[领料单号],$K$4),"",IFERROR(INDEX(生产[],MATCH($K$4,生产[领料单号],0)+ROW()-6,5),""))</f>
        <v/>
      </c>
      <c r="B11" s="15" t="str">
        <f>IF(ROW()-5&gt;COUNTIF(生产[领料单号],$K$4),"",IFERROR(INDEX(生产[],MATCH($K$4,生产[领料单号],0)+ROW()-6,6),""))</f>
        <v/>
      </c>
      <c r="C11" s="11" t="str">
        <f>IF(ROW()-5&gt;COUNTIF(生产[领料单号],$K$4),"",IFERROR(INDEX(生产[],MATCH($K$4,生产[领料单号],0)+ROW()-6,7),""))</f>
        <v/>
      </c>
      <c r="D11" s="34"/>
      <c r="E11" s="34"/>
      <c r="F11" s="34"/>
      <c r="G11" s="34"/>
      <c r="H11" s="34"/>
      <c r="I11" s="35"/>
    </row>
    <row r="12" spans="1:11" ht="21" customHeight="1" x14ac:dyDescent="0.15">
      <c r="A12" s="11" t="str">
        <f>IF(ROW()-5&gt;COUNTIF(生产[领料单号],$K$4),"",IFERROR(INDEX(生产[],MATCH($K$4,生产[领料单号],0)+ROW()-6,5),""))</f>
        <v/>
      </c>
      <c r="B12" s="15" t="str">
        <f>IF(ROW()-5&gt;COUNTIF(生产[领料单号],$K$4),"",IFERROR(INDEX(生产[],MATCH($K$4,生产[领料单号],0)+ROW()-6,6),""))</f>
        <v/>
      </c>
      <c r="C12" s="11" t="str">
        <f>IF(ROW()-5&gt;COUNTIF(生产[领料单号],$K$4),"",IFERROR(INDEX(生产[],MATCH($K$4,生产[领料单号],0)+ROW()-6,7),""))</f>
        <v/>
      </c>
      <c r="D12" s="34"/>
      <c r="E12" s="34"/>
      <c r="F12" s="34"/>
      <c r="G12" s="34"/>
      <c r="H12" s="34"/>
      <c r="I12" s="35"/>
    </row>
    <row r="13" spans="1:11" ht="21" customHeight="1" x14ac:dyDescent="0.15">
      <c r="A13" s="11" t="str">
        <f>IF(ROW()-5&gt;COUNTIF(生产[领料单号],$K$4),"",IFERROR(INDEX(生产[],MATCH($K$4,生产[领料单号],0)+ROW()-6,5),""))</f>
        <v/>
      </c>
      <c r="B13" s="15" t="str">
        <f>IF(ROW()-5&gt;COUNTIF(生产[领料单号],$K$4),"",IFERROR(INDEX(生产[],MATCH($K$4,生产[领料单号],0)+ROW()-6,6),""))</f>
        <v/>
      </c>
      <c r="C13" s="11" t="str">
        <f>IF(ROW()-5&gt;COUNTIF(生产[领料单号],$K$4),"",IFERROR(INDEX(生产[],MATCH($K$4,生产[领料单号],0)+ROW()-6,7),""))</f>
        <v/>
      </c>
      <c r="D13" s="34"/>
      <c r="E13" s="34"/>
      <c r="F13" s="34"/>
      <c r="G13" s="34"/>
      <c r="H13" s="34"/>
      <c r="I13" s="35"/>
    </row>
    <row r="14" spans="1:11" ht="21" customHeight="1" x14ac:dyDescent="0.15">
      <c r="A14" s="11" t="str">
        <f>IF(ROW()-5&gt;COUNTIF(生产[领料单号],$K$4),"",IFERROR(INDEX(生产[],MATCH($K$4,生产[领料单号],0)+ROW()-6,5),""))</f>
        <v/>
      </c>
      <c r="B14" s="15" t="str">
        <f>IF(ROW()-5&gt;COUNTIF(生产[领料单号],$K$4),"",IFERROR(INDEX(生产[],MATCH($K$4,生产[领料单号],0)+ROW()-6,6),""))</f>
        <v/>
      </c>
      <c r="C14" s="11" t="str">
        <f>IF(ROW()-5&gt;COUNTIF(生产[领料单号],$K$4),"",IFERROR(INDEX(生产[],MATCH($K$4,生产[领料单号],0)+ROW()-6,7),""))</f>
        <v/>
      </c>
      <c r="D14" s="34"/>
      <c r="E14" s="34"/>
      <c r="F14" s="34"/>
      <c r="G14" s="34"/>
      <c r="H14" s="34"/>
      <c r="I14" s="35"/>
    </row>
    <row r="15" spans="1:11" ht="21" customHeight="1" x14ac:dyDescent="0.15">
      <c r="A15" s="11" t="str">
        <f>IF(ROW()-5&gt;COUNTIF(生产[领料单号],$K$4),"",IFERROR(INDEX(生产[],MATCH($K$4,生产[领料单号],0)+ROW()-6,5),""))</f>
        <v/>
      </c>
      <c r="B15" s="15" t="str">
        <f>IF(ROW()-5&gt;COUNTIF(生产[领料单号],$K$4),"",IFERROR(INDEX(生产[],MATCH($K$4,生产[领料单号],0)+ROW()-6,6),""))</f>
        <v/>
      </c>
      <c r="C15" s="11" t="str">
        <f>IF(ROW()-5&gt;COUNTIF(生产[领料单号],$K$4),"",IFERROR(INDEX(生产[],MATCH($K$4,生产[领料单号],0)+ROW()-6,7),""))</f>
        <v/>
      </c>
      <c r="D15" s="34"/>
      <c r="E15" s="34"/>
      <c r="F15" s="34"/>
      <c r="G15" s="34"/>
      <c r="H15" s="34"/>
      <c r="I15" s="35"/>
    </row>
  </sheetData>
  <mergeCells count="2">
    <mergeCell ref="A1:I1"/>
    <mergeCell ref="A2:I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审核：              发料人：              领料人：&amp;R第 &amp;P 页，共 &amp;N 页　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H5"/>
  <sheetViews>
    <sheetView workbookViewId="0">
      <pane ySplit="3" topLeftCell="A4" activePane="bottomLeft" state="frozen"/>
      <selection pane="bottomLeft" activeCell="D10" sqref="D10"/>
    </sheetView>
  </sheetViews>
  <sheetFormatPr defaultRowHeight="24.95" customHeight="1" x14ac:dyDescent="0.15"/>
  <cols>
    <col min="1" max="1" width="12.5" style="4" customWidth="1"/>
    <col min="2" max="2" width="14.25" style="4" customWidth="1"/>
    <col min="3" max="3" width="11.125" style="4" customWidth="1"/>
    <col min="4" max="4" width="34" style="3" customWidth="1"/>
    <col min="5" max="5" width="12.25" style="3" customWidth="1"/>
    <col min="6" max="6" width="14" style="3" customWidth="1"/>
    <col min="7" max="7" width="26.75" style="3" customWidth="1"/>
    <col min="8" max="8" width="9.75" style="3" customWidth="1"/>
    <col min="9" max="16384" width="9" style="3"/>
  </cols>
  <sheetData>
    <row r="1" spans="1:8" s="1" customFormat="1" ht="24.95" customHeight="1" x14ac:dyDescent="0.15">
      <c r="A1" s="16" t="str">
        <f>com</f>
        <v>广州XXX科技有限公司</v>
      </c>
      <c r="B1" s="16"/>
      <c r="C1" s="16"/>
      <c r="D1" s="16"/>
      <c r="E1" s="16"/>
      <c r="F1" s="16"/>
      <c r="G1" s="16"/>
      <c r="H1" s="16"/>
    </row>
    <row r="2" spans="1:8" s="2" customFormat="1" ht="24.95" customHeight="1" x14ac:dyDescent="0.15">
      <c r="A2" s="17" t="s">
        <v>59</v>
      </c>
      <c r="B2" s="17"/>
      <c r="C2" s="17"/>
      <c r="D2" s="17"/>
      <c r="E2" s="17"/>
      <c r="F2" s="17"/>
      <c r="G2" s="17"/>
      <c r="H2" s="17"/>
    </row>
    <row r="3" spans="1:8" s="38" customFormat="1" ht="24.95" customHeight="1" x14ac:dyDescent="0.15">
      <c r="A3" s="38" t="s">
        <v>60</v>
      </c>
      <c r="B3" s="38" t="s">
        <v>61</v>
      </c>
      <c r="C3" s="38" t="s">
        <v>32</v>
      </c>
      <c r="D3" s="38" t="s">
        <v>33</v>
      </c>
      <c r="E3" s="38" t="s">
        <v>62</v>
      </c>
      <c r="F3" s="38" t="s">
        <v>63</v>
      </c>
      <c r="G3" s="38" t="s">
        <v>64</v>
      </c>
      <c r="H3" s="38" t="s">
        <v>10</v>
      </c>
    </row>
    <row r="4" spans="1:8" ht="24.95" customHeight="1" x14ac:dyDescent="0.15">
      <c r="A4" s="4" t="s">
        <v>66</v>
      </c>
      <c r="B4" s="26">
        <v>44547</v>
      </c>
      <c r="C4" s="4" t="s">
        <v>36</v>
      </c>
      <c r="D4" s="3" t="str">
        <f>IFERROR(VLOOKUP(出库[[#This Row],[物料编号]],库存[#All],2,0),"")</f>
        <v>stk 35g 美颜BB霜 彩盒</v>
      </c>
      <c r="E4" s="4">
        <v>5</v>
      </c>
      <c r="F4" s="3" t="s">
        <v>69</v>
      </c>
      <c r="G4" s="3" t="s">
        <v>70</v>
      </c>
    </row>
    <row r="5" spans="1:8" ht="24.95" customHeight="1" x14ac:dyDescent="0.15">
      <c r="A5" s="4" t="s">
        <v>73</v>
      </c>
      <c r="B5" s="26">
        <v>44547</v>
      </c>
      <c r="C5" s="4" t="s">
        <v>36</v>
      </c>
      <c r="D5" s="3" t="str">
        <f>IFERROR(VLOOKUP(出库[[#This Row],[物料编号]],库存[#All],2,0),"")</f>
        <v>stk 35g 美颜BB霜 彩盒</v>
      </c>
      <c r="E5" s="4">
        <v>4</v>
      </c>
      <c r="F5" s="3" t="s">
        <v>71</v>
      </c>
      <c r="G5" s="3" t="s">
        <v>72</v>
      </c>
    </row>
  </sheetData>
  <phoneticPr fontId="1" type="noConversion"/>
  <printOptions horizontalCentered="1"/>
  <pageMargins left="0.25" right="0.25" top="0.75" bottom="0.75" header="0.3" footer="0.3"/>
  <pageSetup paperSize="9" fitToHeight="0" orientation="landscape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zoomScaleNormal="100" workbookViewId="0">
      <pane ySplit="5" topLeftCell="A6" activePane="bottomLeft" state="frozen"/>
      <selection pane="bottomLeft" activeCell="G13" sqref="G13"/>
    </sheetView>
  </sheetViews>
  <sheetFormatPr defaultColWidth="9" defaultRowHeight="21" customHeight="1" x14ac:dyDescent="0.15"/>
  <cols>
    <col min="1" max="1" width="7.125" style="33" customWidth="1"/>
    <col min="2" max="2" width="13.5" style="33" customWidth="1"/>
    <col min="3" max="3" width="40" style="14" customWidth="1"/>
    <col min="4" max="4" width="13.75" style="14" customWidth="1"/>
    <col min="5" max="5" width="22.875" style="14" customWidth="1"/>
    <col min="6" max="6" width="3" style="14" customWidth="1"/>
    <col min="7" max="7" width="17.25" style="14" customWidth="1"/>
    <col min="8" max="16384" width="9" style="14"/>
  </cols>
  <sheetData>
    <row r="1" spans="1:7" s="29" customFormat="1" ht="21" customHeight="1" x14ac:dyDescent="0.15">
      <c r="A1" s="36" t="str">
        <f>com</f>
        <v>广州XXX科技有限公司</v>
      </c>
      <c r="B1" s="36"/>
      <c r="C1" s="36"/>
      <c r="D1" s="36"/>
      <c r="E1" s="36"/>
      <c r="F1" s="25"/>
    </row>
    <row r="2" spans="1:7" s="31" customFormat="1" ht="21" customHeight="1" x14ac:dyDescent="0.15">
      <c r="A2" s="37" t="s">
        <v>65</v>
      </c>
      <c r="B2" s="37"/>
      <c r="C2" s="37"/>
      <c r="D2" s="37"/>
      <c r="E2" s="37"/>
      <c r="F2" s="30"/>
      <c r="G2" s="6" t="s">
        <v>15</v>
      </c>
    </row>
    <row r="3" spans="1:7" ht="21" customHeight="1" x14ac:dyDescent="0.15">
      <c r="A3" s="27" t="str">
        <f ca="1">" 日期："&amp;TEXT(IFERROR(VLOOKUP(G4,出库[#All],2,0),NOW()),"yyyy年m月d日")</f>
        <v xml:space="preserve"> 日期：2021年12月17日</v>
      </c>
      <c r="B3" s="18"/>
      <c r="C3" s="18"/>
      <c r="E3" s="19" t="str">
        <f>"№："&amp;G4</f>
        <v>№：s001</v>
      </c>
      <c r="F3" s="25"/>
      <c r="G3" s="7" t="s">
        <v>16</v>
      </c>
    </row>
    <row r="4" spans="1:7" ht="21" customHeight="1" x14ac:dyDescent="0.15">
      <c r="A4" s="28" t="str">
        <f>" 部门或单位："&amp;IFERROR(VLOOKUP(G4,出库[#All],6,0)&amp;"（"&amp;VLOOKUP(G4,出库[#All],7,0)&amp;"）"," -")</f>
        <v xml:space="preserve"> 部门或单位：业务部（产品备案）</v>
      </c>
      <c r="B4" s="18"/>
      <c r="C4" s="20"/>
      <c r="D4" s="20"/>
      <c r="E4" s="21" t="s">
        <v>54</v>
      </c>
      <c r="F4" s="32"/>
      <c r="G4" s="8" t="s">
        <v>67</v>
      </c>
    </row>
    <row r="5" spans="1:7" s="10" customFormat="1" ht="21" customHeight="1" x14ac:dyDescent="0.15">
      <c r="A5" s="9" t="s">
        <v>17</v>
      </c>
      <c r="B5" s="9" t="s">
        <v>53</v>
      </c>
      <c r="C5" s="9" t="s">
        <v>33</v>
      </c>
      <c r="D5" s="9" t="s">
        <v>18</v>
      </c>
      <c r="E5" s="9" t="s">
        <v>10</v>
      </c>
    </row>
    <row r="6" spans="1:7" ht="21" customHeight="1" x14ac:dyDescent="0.15">
      <c r="A6" s="11">
        <f>ROW()-5</f>
        <v>1</v>
      </c>
      <c r="B6" s="11" t="str">
        <f>IF(ROW()-5&gt;COUNTIF(出库[出库单号],$G$4),"",IFERROR(INDEX(出库[],MATCH($G$4,出库[出库单号],0)+ROW()-6,3),""))</f>
        <v>fd555</v>
      </c>
      <c r="C6" s="15" t="str">
        <f>IF(ROW()-5&gt;COUNTIF(出库[出库单号],$G$4),"",IFERROR(INDEX(出库[],MATCH($G$4,出库[出库单号],0)+ROW()-6,4),""))</f>
        <v>stk 35g 美颜BB霜 彩盒</v>
      </c>
      <c r="D6" s="11">
        <f>IF(ROW()-5&gt;COUNTIF(出库[出库单号],$G$4),"",IFERROR(INDEX(出库[],MATCH($G$4,出库[出库单号],0)+ROW()-6,5),""))</f>
        <v>5</v>
      </c>
      <c r="E6" s="13" t="str">
        <f>IF(ROW()-5&gt;COUNTIF(出库[出库单号],$G$4),"",IFERROR(INDEX(出库[],MATCH($G$4,出库[出库单号],0)+ROW()-6,8)&amp;"",""))</f>
        <v/>
      </c>
    </row>
    <row r="7" spans="1:7" ht="21" customHeight="1" x14ac:dyDescent="0.15">
      <c r="A7" s="11">
        <f t="shared" ref="A7:A15" si="0">ROW()-5</f>
        <v>2</v>
      </c>
      <c r="B7" s="11" t="str">
        <f>IF(ROW()-5&gt;COUNTIF(出库[出库单号],$G$4),"",IFERROR(INDEX(出库[],MATCH($G$4,出库[出库单号],0)+ROW()-6,3),""))</f>
        <v/>
      </c>
      <c r="C7" s="15" t="str">
        <f>IF(ROW()-5&gt;COUNTIF(出库[出库单号],$G$4),"",IFERROR(INDEX(出库[],MATCH($G$4,出库[出库单号],0)+ROW()-6,4),""))</f>
        <v/>
      </c>
      <c r="D7" s="11" t="str">
        <f>IF(ROW()-5&gt;COUNTIF(出库[出库单号],$G$4),"",IFERROR(INDEX(出库[],MATCH($G$4,出库[出库单号],0)+ROW()-6,5),""))</f>
        <v/>
      </c>
      <c r="E7" s="13" t="str">
        <f>IF(ROW()-5&gt;COUNTIF(出库[出库单号],$G$4),"",IFERROR(INDEX(出库[],MATCH($G$4,出库[出库单号],0)+ROW()-6,8)&amp;"",""))</f>
        <v/>
      </c>
    </row>
    <row r="8" spans="1:7" ht="21" customHeight="1" x14ac:dyDescent="0.15">
      <c r="A8" s="11">
        <f t="shared" si="0"/>
        <v>3</v>
      </c>
      <c r="B8" s="11" t="str">
        <f>IF(ROW()-5&gt;COUNTIF(出库[出库单号],$G$4),"",IFERROR(INDEX(出库[],MATCH($G$4,出库[出库单号],0)+ROW()-6,3),""))</f>
        <v/>
      </c>
      <c r="C8" s="15" t="str">
        <f>IF(ROW()-5&gt;COUNTIF(出库[出库单号],$G$4),"",IFERROR(INDEX(出库[],MATCH($G$4,出库[出库单号],0)+ROW()-6,4),""))</f>
        <v/>
      </c>
      <c r="D8" s="11" t="str">
        <f>IF(ROW()-5&gt;COUNTIF(出库[出库单号],$G$4),"",IFERROR(INDEX(出库[],MATCH($G$4,出库[出库单号],0)+ROW()-6,5),""))</f>
        <v/>
      </c>
      <c r="E8" s="13" t="str">
        <f>IF(ROW()-5&gt;COUNTIF(出库[出库单号],$G$4),"",IFERROR(INDEX(出库[],MATCH($G$4,出库[出库单号],0)+ROW()-6,8)&amp;"",""))</f>
        <v/>
      </c>
    </row>
    <row r="9" spans="1:7" ht="21" customHeight="1" x14ac:dyDescent="0.15">
      <c r="A9" s="11">
        <f t="shared" si="0"/>
        <v>4</v>
      </c>
      <c r="B9" s="11" t="str">
        <f>IF(ROW()-5&gt;COUNTIF(出库[出库单号],$G$4),"",IFERROR(INDEX(出库[],MATCH($G$4,出库[出库单号],0)+ROW()-6,3),""))</f>
        <v/>
      </c>
      <c r="C9" s="15" t="str">
        <f>IF(ROW()-5&gt;COUNTIF(出库[出库单号],$G$4),"",IFERROR(INDEX(出库[],MATCH($G$4,出库[出库单号],0)+ROW()-6,4),""))</f>
        <v/>
      </c>
      <c r="D9" s="11" t="str">
        <f>IF(ROW()-5&gt;COUNTIF(出库[出库单号],$G$4),"",IFERROR(INDEX(出库[],MATCH($G$4,出库[出库单号],0)+ROW()-6,5),""))</f>
        <v/>
      </c>
      <c r="E9" s="13" t="str">
        <f>IF(ROW()-5&gt;COUNTIF(出库[出库单号],$G$4),"",IFERROR(INDEX(出库[],MATCH($G$4,出库[出库单号],0)+ROW()-6,8)&amp;"",""))</f>
        <v/>
      </c>
    </row>
    <row r="10" spans="1:7" ht="21" customHeight="1" x14ac:dyDescent="0.15">
      <c r="A10" s="11">
        <f t="shared" si="0"/>
        <v>5</v>
      </c>
      <c r="B10" s="11" t="str">
        <f>IF(ROW()-5&gt;COUNTIF(出库[出库单号],$G$4),"",IFERROR(INDEX(出库[],MATCH($G$4,出库[出库单号],0)+ROW()-6,3),""))</f>
        <v/>
      </c>
      <c r="C10" s="15" t="str">
        <f>IF(ROW()-5&gt;COUNTIF(出库[出库单号],$G$4),"",IFERROR(INDEX(出库[],MATCH($G$4,出库[出库单号],0)+ROW()-6,4),""))</f>
        <v/>
      </c>
      <c r="D10" s="11" t="str">
        <f>IF(ROW()-5&gt;COUNTIF(出库[出库单号],$G$4),"",IFERROR(INDEX(出库[],MATCH($G$4,出库[出库单号],0)+ROW()-6,5),""))</f>
        <v/>
      </c>
      <c r="E10" s="13" t="str">
        <f>IF(ROW()-5&gt;COUNTIF(出库[出库单号],$G$4),"",IFERROR(INDEX(出库[],MATCH($G$4,出库[出库单号],0)+ROW()-6,8)&amp;"",""))</f>
        <v/>
      </c>
    </row>
    <row r="11" spans="1:7" ht="21" customHeight="1" x14ac:dyDescent="0.15">
      <c r="A11" s="11">
        <f t="shared" si="0"/>
        <v>6</v>
      </c>
      <c r="B11" s="11" t="str">
        <f>IF(ROW()-5&gt;COUNTIF(出库[出库单号],$G$4),"",IFERROR(INDEX(出库[],MATCH($G$4,出库[出库单号],0)+ROW()-6,3),""))</f>
        <v/>
      </c>
      <c r="C11" s="15" t="str">
        <f>IF(ROW()-5&gt;COUNTIF(出库[出库单号],$G$4),"",IFERROR(INDEX(出库[],MATCH($G$4,出库[出库单号],0)+ROW()-6,4),""))</f>
        <v/>
      </c>
      <c r="D11" s="11" t="str">
        <f>IF(ROW()-5&gt;COUNTIF(出库[出库单号],$G$4),"",IFERROR(INDEX(出库[],MATCH($G$4,出库[出库单号],0)+ROW()-6,5),""))</f>
        <v/>
      </c>
      <c r="E11" s="13" t="str">
        <f>IF(ROW()-5&gt;COUNTIF(出库[出库单号],$G$4),"",IFERROR(INDEX(出库[],MATCH($G$4,出库[出库单号],0)+ROW()-6,8)&amp;"",""))</f>
        <v/>
      </c>
    </row>
    <row r="12" spans="1:7" ht="21" customHeight="1" x14ac:dyDescent="0.15">
      <c r="A12" s="11">
        <f t="shared" si="0"/>
        <v>7</v>
      </c>
      <c r="B12" s="11" t="str">
        <f>IF(ROW()-5&gt;COUNTIF(出库[出库单号],$G$4),"",IFERROR(INDEX(出库[],MATCH($G$4,出库[出库单号],0)+ROW()-6,3),""))</f>
        <v/>
      </c>
      <c r="C12" s="15" t="str">
        <f>IF(ROW()-5&gt;COUNTIF(出库[出库单号],$G$4),"",IFERROR(INDEX(出库[],MATCH($G$4,出库[出库单号],0)+ROW()-6,4),""))</f>
        <v/>
      </c>
      <c r="D12" s="11" t="str">
        <f>IF(ROW()-5&gt;COUNTIF(出库[出库单号],$G$4),"",IFERROR(INDEX(出库[],MATCH($G$4,出库[出库单号],0)+ROW()-6,5),""))</f>
        <v/>
      </c>
      <c r="E12" s="13" t="str">
        <f>IF(ROW()-5&gt;COUNTIF(出库[出库单号],$G$4),"",IFERROR(INDEX(出库[],MATCH($G$4,出库[出库单号],0)+ROW()-6,8)&amp;"",""))</f>
        <v/>
      </c>
    </row>
    <row r="13" spans="1:7" ht="21" customHeight="1" x14ac:dyDescent="0.15">
      <c r="A13" s="11">
        <f t="shared" si="0"/>
        <v>8</v>
      </c>
      <c r="B13" s="11" t="str">
        <f>IF(ROW()-5&gt;COUNTIF(出库[出库单号],$G$4),"",IFERROR(INDEX(出库[],MATCH($G$4,出库[出库单号],0)+ROW()-6,3),""))</f>
        <v/>
      </c>
      <c r="C13" s="15" t="str">
        <f>IF(ROW()-5&gt;COUNTIF(出库[出库单号],$G$4),"",IFERROR(INDEX(出库[],MATCH($G$4,出库[出库单号],0)+ROW()-6,4),""))</f>
        <v/>
      </c>
      <c r="D13" s="11" t="str">
        <f>IF(ROW()-5&gt;COUNTIF(出库[出库单号],$G$4),"",IFERROR(INDEX(出库[],MATCH($G$4,出库[出库单号],0)+ROW()-6,5),""))</f>
        <v/>
      </c>
      <c r="E13" s="13" t="str">
        <f>IF(ROW()-5&gt;COUNTIF(出库[出库单号],$G$4),"",IFERROR(INDEX(出库[],MATCH($G$4,出库[出库单号],0)+ROW()-6,8)&amp;"",""))</f>
        <v/>
      </c>
    </row>
    <row r="14" spans="1:7" ht="21" customHeight="1" x14ac:dyDescent="0.15">
      <c r="A14" s="11">
        <f t="shared" si="0"/>
        <v>9</v>
      </c>
      <c r="B14" s="11" t="str">
        <f>IF(ROW()-5&gt;COUNTIF(出库[出库单号],$G$4),"",IFERROR(INDEX(出库[],MATCH($G$4,出库[出库单号],0)+ROW()-6,3),""))</f>
        <v/>
      </c>
      <c r="C14" s="15" t="str">
        <f>IF(ROW()-5&gt;COUNTIF(出库[出库单号],$G$4),"",IFERROR(INDEX(出库[],MATCH($G$4,出库[出库单号],0)+ROW()-6,4),""))</f>
        <v/>
      </c>
      <c r="D14" s="11" t="str">
        <f>IF(ROW()-5&gt;COUNTIF(出库[出库单号],$G$4),"",IFERROR(INDEX(出库[],MATCH($G$4,出库[出库单号],0)+ROW()-6,5),""))</f>
        <v/>
      </c>
      <c r="E14" s="13" t="str">
        <f>IF(ROW()-5&gt;COUNTIF(出库[出库单号],$G$4),"",IFERROR(INDEX(出库[],MATCH($G$4,出库[出库单号],0)+ROW()-6,8)&amp;"",""))</f>
        <v/>
      </c>
    </row>
    <row r="15" spans="1:7" ht="21" customHeight="1" x14ac:dyDescent="0.15">
      <c r="A15" s="11">
        <f t="shared" si="0"/>
        <v>10</v>
      </c>
      <c r="B15" s="11" t="str">
        <f>IF(ROW()-5&gt;COUNTIF(出库[出库单号],$G$4),"",IFERROR(INDEX(出库[],MATCH($G$4,出库[出库单号],0)+ROW()-6,3),""))</f>
        <v/>
      </c>
      <c r="C15" s="15" t="str">
        <f>IF(ROW()-5&gt;COUNTIF(出库[出库单号],$G$4),"",IFERROR(INDEX(出库[],MATCH($G$4,出库[出库单号],0)+ROW()-6,4),""))</f>
        <v/>
      </c>
      <c r="D15" s="11" t="str">
        <f>IF(ROW()-5&gt;COUNTIF(出库[出库单号],$G$4),"",IFERROR(INDEX(出库[],MATCH($G$4,出库[出库单号],0)+ROW()-6,5),""))</f>
        <v/>
      </c>
      <c r="E15" s="13" t="str">
        <f>IF(ROW()-5&gt;COUNTIF(出库[出库单号],$G$4),"",IFERROR(INDEX(出库[],MATCH($G$4,出库[出库单号],0)+ROW()-6,8)&amp;"",""))</f>
        <v/>
      </c>
    </row>
  </sheetData>
  <mergeCells count="2">
    <mergeCell ref="A1:E1"/>
    <mergeCell ref="A2:E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期初库存</vt:lpstr>
      <vt:lpstr>库存表</vt:lpstr>
      <vt:lpstr>到货记录</vt:lpstr>
      <vt:lpstr>入库记录</vt:lpstr>
      <vt:lpstr>入库单</vt:lpstr>
      <vt:lpstr>生产领补退料记录</vt:lpstr>
      <vt:lpstr>生产领料单</vt:lpstr>
      <vt:lpstr>其他出库记录</vt:lpstr>
      <vt:lpstr>其他出库单</vt:lpstr>
      <vt:lpstr>其他出库单!Print_Area</vt:lpstr>
      <vt:lpstr>入库单!Print_Area</vt:lpstr>
      <vt:lpstr>生产领料单!Print_Area</vt:lpstr>
      <vt:lpstr>到货记录!Print_Titles</vt:lpstr>
      <vt:lpstr>库存表!Print_Titles</vt:lpstr>
      <vt:lpstr>期初库存!Print_Titles</vt:lpstr>
      <vt:lpstr>其他出库单!Print_Titles</vt:lpstr>
      <vt:lpstr>其他出库记录!Print_Titles</vt:lpstr>
      <vt:lpstr>入库单!Print_Titles</vt:lpstr>
      <vt:lpstr>入库记录!Print_Titles</vt:lpstr>
      <vt:lpstr>生产领补退料记录!Print_Titles</vt:lpstr>
      <vt:lpstr>生产领料单!Print_Titles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Any</dc:creator>
  <cp:lastModifiedBy>Any</cp:lastModifiedBy>
  <cp:lastPrinted>2021-12-16T14:02:21Z</cp:lastPrinted>
  <dcterms:created xsi:type="dcterms:W3CDTF">2021-12-11T09:13:57Z</dcterms:created>
  <dcterms:modified xsi:type="dcterms:W3CDTF">2021-12-18T04:19:16Z</dcterms:modified>
</cp:coreProperties>
</file>